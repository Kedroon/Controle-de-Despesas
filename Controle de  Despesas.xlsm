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/>
  <bookViews>
    <workbookView xWindow="0" yWindow="0" windowWidth="19440" windowHeight="12210" tabRatio="487" activeTab="2"/>
  </bookViews>
  <sheets>
    <sheet name="Relatório" sheetId="16" r:id="rId1"/>
    <sheet name="Gráfico" sheetId="17" r:id="rId2"/>
    <sheet name="Despesas" sheetId="3" r:id="rId3"/>
    <sheet name="Banco de Dados" sheetId="15" r:id="rId4"/>
    <sheet name="Capa" sheetId="18" r:id="rId5"/>
  </sheets>
  <definedNames>
    <definedName name="Forn1">'Banco de Dados'!$J$4:$J$6</definedName>
    <definedName name="Forn10">'Banco de Dados'!$J$48:$J$49</definedName>
    <definedName name="Forn11">'Banco de Dados'!$J$52:$J$53</definedName>
    <definedName name="Forn13">'Banco de Dados'!$J$56:$J$58</definedName>
    <definedName name="Forn2">'Banco de Dados'!$J$9:$J$12</definedName>
    <definedName name="Forn3">'Banco de Dados'!$J$15:$J$17</definedName>
    <definedName name="Forn4">'Banco de Dados'!$J$20:$J$22</definedName>
    <definedName name="Forn5">'Banco de Dados'!$J$25:$J$26</definedName>
    <definedName name="Forn6">'Banco de Dados'!$J$29:$J$32</definedName>
    <definedName name="Forn7">'Banco de Dados'!$J$35:$J$36</definedName>
    <definedName name="Forn8">'Banco de Dados'!$J$39:$J$40</definedName>
    <definedName name="Forn9">'Banco de Dados'!$J$43:$J$45</definedName>
    <definedName name="Fornecedores">'Banco de Dados'!$B$3:$B$16</definedName>
  </definedNames>
  <calcPr calcId="144525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6" i="15" l="1"/>
  <c r="I57" i="15" l="1"/>
  <c r="I58" i="15"/>
  <c r="I52" i="15" l="1"/>
  <c r="I53" i="15"/>
  <c r="I48" i="15" l="1"/>
  <c r="I49" i="15" l="1"/>
  <c r="I43" i="15"/>
  <c r="I44" i="15"/>
  <c r="I45" i="15"/>
  <c r="I39" i="15"/>
  <c r="I40" i="15"/>
  <c r="I36" i="15" l="1"/>
  <c r="I35" i="15"/>
  <c r="I32" i="15"/>
  <c r="I31" i="15"/>
  <c r="A61" i="3" l="1"/>
  <c r="A16" i="3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2" i="3"/>
  <c r="A3" i="3" s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I30" i="15" l="1"/>
  <c r="I29" i="15"/>
  <c r="I26" i="15"/>
  <c r="I25" i="15"/>
  <c r="I5" i="15"/>
  <c r="I21" i="15"/>
  <c r="I22" i="15"/>
  <c r="I20" i="15"/>
  <c r="I16" i="15"/>
  <c r="I17" i="15"/>
  <c r="I15" i="15"/>
  <c r="I9" i="15"/>
  <c r="I10" i="15"/>
  <c r="I11" i="15"/>
  <c r="I12" i="15"/>
  <c r="I6" i="15"/>
  <c r="I4" i="15"/>
  <c r="E195" i="3" l="1"/>
  <c r="E523" i="3"/>
  <c r="E19" i="3"/>
  <c r="E15" i="3"/>
  <c r="F115" i="3"/>
  <c r="E12" i="3"/>
  <c r="F147" i="3"/>
  <c r="F38" i="3"/>
  <c r="E476" i="3"/>
  <c r="F14" i="3"/>
  <c r="E417" i="3"/>
  <c r="E369" i="3"/>
  <c r="E321" i="3"/>
  <c r="E273" i="3"/>
  <c r="E241" i="3"/>
  <c r="E217" i="3"/>
  <c r="E209" i="3"/>
  <c r="E105" i="3"/>
  <c r="E73" i="3"/>
  <c r="E40" i="3"/>
  <c r="F503" i="3"/>
  <c r="F471" i="3"/>
  <c r="F439" i="3"/>
  <c r="F407" i="3"/>
  <c r="F375" i="3"/>
  <c r="F343" i="3"/>
  <c r="F311" i="3"/>
  <c r="F279" i="3"/>
  <c r="F247" i="3"/>
  <c r="F215" i="3"/>
  <c r="F183" i="3"/>
  <c r="F151" i="3"/>
  <c r="F119" i="3"/>
  <c r="F87" i="3"/>
  <c r="F54" i="3"/>
  <c r="E492" i="3"/>
  <c r="E452" i="3"/>
  <c r="E441" i="3"/>
  <c r="E393" i="3"/>
  <c r="E345" i="3"/>
  <c r="E297" i="3"/>
  <c r="E265" i="3"/>
  <c r="E169" i="3"/>
  <c r="E491" i="3"/>
  <c r="E459" i="3"/>
  <c r="F13" i="3"/>
  <c r="E416" i="3"/>
  <c r="E376" i="3"/>
  <c r="E328" i="3"/>
  <c r="E288" i="3"/>
  <c r="E256" i="3"/>
  <c r="E208" i="3"/>
  <c r="E69" i="3"/>
  <c r="F403" i="3"/>
  <c r="F339" i="3"/>
  <c r="F211" i="3"/>
  <c r="E425" i="3"/>
  <c r="E377" i="3"/>
  <c r="E329" i="3"/>
  <c r="E281" i="3"/>
  <c r="E249" i="3"/>
  <c r="E137" i="3"/>
  <c r="E483" i="3"/>
  <c r="E11" i="3"/>
  <c r="E440" i="3"/>
  <c r="E400" i="3"/>
  <c r="E352" i="3"/>
  <c r="E312" i="3"/>
  <c r="E280" i="3"/>
  <c r="E232" i="3"/>
  <c r="E165" i="3"/>
  <c r="F499" i="3"/>
  <c r="F307" i="3"/>
  <c r="F179" i="3"/>
  <c r="E2" i="3"/>
  <c r="E498" i="3"/>
  <c r="E490" i="3"/>
  <c r="E482" i="3"/>
  <c r="E474" i="3"/>
  <c r="E466" i="3"/>
  <c r="E458" i="3"/>
  <c r="E450" i="3"/>
  <c r="E10" i="3"/>
  <c r="F2" i="3"/>
  <c r="F12" i="3"/>
  <c r="F4" i="3"/>
  <c r="E439" i="3"/>
  <c r="E431" i="3"/>
  <c r="E423" i="3"/>
  <c r="E415" i="3"/>
  <c r="E407" i="3"/>
  <c r="E399" i="3"/>
  <c r="E391" i="3"/>
  <c r="E383" i="3"/>
  <c r="E375" i="3"/>
  <c r="E367" i="3"/>
  <c r="E359" i="3"/>
  <c r="E351" i="3"/>
  <c r="E343" i="3"/>
  <c r="E335" i="3"/>
  <c r="E327" i="3"/>
  <c r="E319" i="3"/>
  <c r="E311" i="3"/>
  <c r="E303" i="3"/>
  <c r="E295" i="3"/>
  <c r="E287" i="3"/>
  <c r="E279" i="3"/>
  <c r="E271" i="3"/>
  <c r="E263" i="3"/>
  <c r="E255" i="3"/>
  <c r="E247" i="3"/>
  <c r="E239" i="3"/>
  <c r="E231" i="3"/>
  <c r="E223" i="3"/>
  <c r="E215" i="3"/>
  <c r="E207" i="3"/>
  <c r="E193" i="3"/>
  <c r="E161" i="3"/>
  <c r="E129" i="3"/>
  <c r="E97" i="3"/>
  <c r="E65" i="3"/>
  <c r="E32" i="3"/>
  <c r="F495" i="3"/>
  <c r="F463" i="3"/>
  <c r="F431" i="3"/>
  <c r="F399" i="3"/>
  <c r="F367" i="3"/>
  <c r="F335" i="3"/>
  <c r="F303" i="3"/>
  <c r="F271" i="3"/>
  <c r="F239" i="3"/>
  <c r="F207" i="3"/>
  <c r="F175" i="3"/>
  <c r="F143" i="3"/>
  <c r="F111" i="3"/>
  <c r="F79" i="3"/>
  <c r="F46" i="3"/>
  <c r="E468" i="3"/>
  <c r="E4" i="3"/>
  <c r="E409" i="3"/>
  <c r="E361" i="3"/>
  <c r="E313" i="3"/>
  <c r="E225" i="3"/>
  <c r="E467" i="3"/>
  <c r="E3" i="3"/>
  <c r="E424" i="3"/>
  <c r="E384" i="3"/>
  <c r="E344" i="3"/>
  <c r="E304" i="3"/>
  <c r="E264" i="3"/>
  <c r="E224" i="3"/>
  <c r="E133" i="3"/>
  <c r="F467" i="3"/>
  <c r="F371" i="3"/>
  <c r="F83" i="3"/>
  <c r="E524" i="3"/>
  <c r="E505" i="3"/>
  <c r="E497" i="3"/>
  <c r="E489" i="3"/>
  <c r="E481" i="3"/>
  <c r="E473" i="3"/>
  <c r="E465" i="3"/>
  <c r="E457" i="3"/>
  <c r="E449" i="3"/>
  <c r="E18" i="3"/>
  <c r="E9" i="3"/>
  <c r="F19" i="3"/>
  <c r="F11" i="3"/>
  <c r="F3" i="3"/>
  <c r="E438" i="3"/>
  <c r="E430" i="3"/>
  <c r="E422" i="3"/>
  <c r="E414" i="3"/>
  <c r="E406" i="3"/>
  <c r="E398" i="3"/>
  <c r="E390" i="3"/>
  <c r="E382" i="3"/>
  <c r="E374" i="3"/>
  <c r="E366" i="3"/>
  <c r="E358" i="3"/>
  <c r="E350" i="3"/>
  <c r="E342" i="3"/>
  <c r="E334" i="3"/>
  <c r="E326" i="3"/>
  <c r="E318" i="3"/>
  <c r="E310" i="3"/>
  <c r="E302" i="3"/>
  <c r="E294" i="3"/>
  <c r="E286" i="3"/>
  <c r="E278" i="3"/>
  <c r="E270" i="3"/>
  <c r="E262" i="3"/>
  <c r="E254" i="3"/>
  <c r="E246" i="3"/>
  <c r="E238" i="3"/>
  <c r="E230" i="3"/>
  <c r="E222" i="3"/>
  <c r="E214" i="3"/>
  <c r="E205" i="3"/>
  <c r="E189" i="3"/>
  <c r="E157" i="3"/>
  <c r="E125" i="3"/>
  <c r="E93" i="3"/>
  <c r="E60" i="3"/>
  <c r="E28" i="3"/>
  <c r="F491" i="3"/>
  <c r="F459" i="3"/>
  <c r="F427" i="3"/>
  <c r="F395" i="3"/>
  <c r="F363" i="3"/>
  <c r="F331" i="3"/>
  <c r="F299" i="3"/>
  <c r="F267" i="3"/>
  <c r="F235" i="3"/>
  <c r="F203" i="3"/>
  <c r="F171" i="3"/>
  <c r="F139" i="3"/>
  <c r="F107" i="3"/>
  <c r="F75" i="3"/>
  <c r="F42" i="3"/>
  <c r="E504" i="3"/>
  <c r="E496" i="3"/>
  <c r="E488" i="3"/>
  <c r="E480" i="3"/>
  <c r="E472" i="3"/>
  <c r="E464" i="3"/>
  <c r="E456" i="3"/>
  <c r="E448" i="3"/>
  <c r="E16" i="3"/>
  <c r="E8" i="3"/>
  <c r="F18" i="3"/>
  <c r="F10" i="3"/>
  <c r="E17" i="3"/>
  <c r="E437" i="3"/>
  <c r="E429" i="3"/>
  <c r="E421" i="3"/>
  <c r="E413" i="3"/>
  <c r="E405" i="3"/>
  <c r="E397" i="3"/>
  <c r="E389" i="3"/>
  <c r="E381" i="3"/>
  <c r="E373" i="3"/>
  <c r="E365" i="3"/>
  <c r="E357" i="3"/>
  <c r="E349" i="3"/>
  <c r="E341" i="3"/>
  <c r="E333" i="3"/>
  <c r="E325" i="3"/>
  <c r="E317" i="3"/>
  <c r="E309" i="3"/>
  <c r="E301" i="3"/>
  <c r="E293" i="3"/>
  <c r="E285" i="3"/>
  <c r="E277" i="3"/>
  <c r="E269" i="3"/>
  <c r="E261" i="3"/>
  <c r="E253" i="3"/>
  <c r="E245" i="3"/>
  <c r="E237" i="3"/>
  <c r="E229" i="3"/>
  <c r="E221" i="3"/>
  <c r="E213" i="3"/>
  <c r="E203" i="3"/>
  <c r="E185" i="3"/>
  <c r="E153" i="3"/>
  <c r="E121" i="3"/>
  <c r="E89" i="3"/>
  <c r="E56" i="3"/>
  <c r="E24" i="3"/>
  <c r="F487" i="3"/>
  <c r="F455" i="3"/>
  <c r="F423" i="3"/>
  <c r="F391" i="3"/>
  <c r="F359" i="3"/>
  <c r="F327" i="3"/>
  <c r="F295" i="3"/>
  <c r="F263" i="3"/>
  <c r="F231" i="3"/>
  <c r="F199" i="3"/>
  <c r="F167" i="3"/>
  <c r="F135" i="3"/>
  <c r="F103" i="3"/>
  <c r="F71" i="3"/>
  <c r="F26" i="3"/>
  <c r="F34" i="3"/>
  <c r="F27" i="3"/>
  <c r="F35" i="3"/>
  <c r="F43" i="3"/>
  <c r="F51" i="3"/>
  <c r="F59" i="3"/>
  <c r="F68" i="3"/>
  <c r="F76" i="3"/>
  <c r="F84" i="3"/>
  <c r="F92" i="3"/>
  <c r="F100" i="3"/>
  <c r="F108" i="3"/>
  <c r="F116" i="3"/>
  <c r="F124" i="3"/>
  <c r="F132" i="3"/>
  <c r="F140" i="3"/>
  <c r="F148" i="3"/>
  <c r="F156" i="3"/>
  <c r="F164" i="3"/>
  <c r="F172" i="3"/>
  <c r="F180" i="3"/>
  <c r="F188" i="3"/>
  <c r="F196" i="3"/>
  <c r="F204" i="3"/>
  <c r="F212" i="3"/>
  <c r="F220" i="3"/>
  <c r="F228" i="3"/>
  <c r="F236" i="3"/>
  <c r="F244" i="3"/>
  <c r="F252" i="3"/>
  <c r="F260" i="3"/>
  <c r="F268" i="3"/>
  <c r="F276" i="3"/>
  <c r="F284" i="3"/>
  <c r="F292" i="3"/>
  <c r="F300" i="3"/>
  <c r="F308" i="3"/>
  <c r="F316" i="3"/>
  <c r="F324" i="3"/>
  <c r="F332" i="3"/>
  <c r="F340" i="3"/>
  <c r="F348" i="3"/>
  <c r="F356" i="3"/>
  <c r="F364" i="3"/>
  <c r="F372" i="3"/>
  <c r="F380" i="3"/>
  <c r="F388" i="3"/>
  <c r="F396" i="3"/>
  <c r="F404" i="3"/>
  <c r="F412" i="3"/>
  <c r="F420" i="3"/>
  <c r="F428" i="3"/>
  <c r="F436" i="3"/>
  <c r="F444" i="3"/>
  <c r="F452" i="3"/>
  <c r="F460" i="3"/>
  <c r="F468" i="3"/>
  <c r="F476" i="3"/>
  <c r="F484" i="3"/>
  <c r="F492" i="3"/>
  <c r="F500" i="3"/>
  <c r="F508" i="3"/>
  <c r="E21" i="3"/>
  <c r="E29" i="3"/>
  <c r="E37" i="3"/>
  <c r="E45" i="3"/>
  <c r="E53" i="3"/>
  <c r="E62" i="3"/>
  <c r="E70" i="3"/>
  <c r="E78" i="3"/>
  <c r="E86" i="3"/>
  <c r="E94" i="3"/>
  <c r="E102" i="3"/>
  <c r="E110" i="3"/>
  <c r="E118" i="3"/>
  <c r="E126" i="3"/>
  <c r="E134" i="3"/>
  <c r="E142" i="3"/>
  <c r="E150" i="3"/>
  <c r="E158" i="3"/>
  <c r="E166" i="3"/>
  <c r="E174" i="3"/>
  <c r="E182" i="3"/>
  <c r="E190" i="3"/>
  <c r="E198" i="3"/>
  <c r="E206" i="3"/>
  <c r="F20" i="3"/>
  <c r="F28" i="3"/>
  <c r="F36" i="3"/>
  <c r="F44" i="3"/>
  <c r="F52" i="3"/>
  <c r="F60" i="3"/>
  <c r="F69" i="3"/>
  <c r="F77" i="3"/>
  <c r="F85" i="3"/>
  <c r="F93" i="3"/>
  <c r="F101" i="3"/>
  <c r="F109" i="3"/>
  <c r="F117" i="3"/>
  <c r="F125" i="3"/>
  <c r="F133" i="3"/>
  <c r="F141" i="3"/>
  <c r="F149" i="3"/>
  <c r="F157" i="3"/>
  <c r="F165" i="3"/>
  <c r="F173" i="3"/>
  <c r="F181" i="3"/>
  <c r="F189" i="3"/>
  <c r="F197" i="3"/>
  <c r="F205" i="3"/>
  <c r="F213" i="3"/>
  <c r="F221" i="3"/>
  <c r="F229" i="3"/>
  <c r="F237" i="3"/>
  <c r="F245" i="3"/>
  <c r="F253" i="3"/>
  <c r="F261" i="3"/>
  <c r="F269" i="3"/>
  <c r="F277" i="3"/>
  <c r="F285" i="3"/>
  <c r="F293" i="3"/>
  <c r="F301" i="3"/>
  <c r="F309" i="3"/>
  <c r="F317" i="3"/>
  <c r="F325" i="3"/>
  <c r="F333" i="3"/>
  <c r="F341" i="3"/>
  <c r="F349" i="3"/>
  <c r="F357" i="3"/>
  <c r="F365" i="3"/>
  <c r="F373" i="3"/>
  <c r="F381" i="3"/>
  <c r="F389" i="3"/>
  <c r="F397" i="3"/>
  <c r="F405" i="3"/>
  <c r="F413" i="3"/>
  <c r="F421" i="3"/>
  <c r="F429" i="3"/>
  <c r="F437" i="3"/>
  <c r="F445" i="3"/>
  <c r="F453" i="3"/>
  <c r="F461" i="3"/>
  <c r="F469" i="3"/>
  <c r="F477" i="3"/>
  <c r="F485" i="3"/>
  <c r="F493" i="3"/>
  <c r="F501" i="3"/>
  <c r="F509" i="3"/>
  <c r="E22" i="3"/>
  <c r="E30" i="3"/>
  <c r="E38" i="3"/>
  <c r="E46" i="3"/>
  <c r="E54" i="3"/>
  <c r="E63" i="3"/>
  <c r="E71" i="3"/>
  <c r="E79" i="3"/>
  <c r="E87" i="3"/>
  <c r="E95" i="3"/>
  <c r="E103" i="3"/>
  <c r="E111" i="3"/>
  <c r="E119" i="3"/>
  <c r="E127" i="3"/>
  <c r="E135" i="3"/>
  <c r="E143" i="3"/>
  <c r="E151" i="3"/>
  <c r="E159" i="3"/>
  <c r="E167" i="3"/>
  <c r="E175" i="3"/>
  <c r="E183" i="3"/>
  <c r="E191" i="3"/>
  <c r="E199" i="3"/>
  <c r="F21" i="3"/>
  <c r="F29" i="3"/>
  <c r="F37" i="3"/>
  <c r="F45" i="3"/>
  <c r="F53" i="3"/>
  <c r="F62" i="3"/>
  <c r="F70" i="3"/>
  <c r="F78" i="3"/>
  <c r="F86" i="3"/>
  <c r="F94" i="3"/>
  <c r="F102" i="3"/>
  <c r="F110" i="3"/>
  <c r="F118" i="3"/>
  <c r="F126" i="3"/>
  <c r="F134" i="3"/>
  <c r="F142" i="3"/>
  <c r="F150" i="3"/>
  <c r="F158" i="3"/>
  <c r="F166" i="3"/>
  <c r="F174" i="3"/>
  <c r="F182" i="3"/>
  <c r="F190" i="3"/>
  <c r="F198" i="3"/>
  <c r="F206" i="3"/>
  <c r="F214" i="3"/>
  <c r="F222" i="3"/>
  <c r="F230" i="3"/>
  <c r="F238" i="3"/>
  <c r="F246" i="3"/>
  <c r="F254" i="3"/>
  <c r="F262" i="3"/>
  <c r="F270" i="3"/>
  <c r="F278" i="3"/>
  <c r="F286" i="3"/>
  <c r="F294" i="3"/>
  <c r="F302" i="3"/>
  <c r="F310" i="3"/>
  <c r="F318" i="3"/>
  <c r="F326" i="3"/>
  <c r="F334" i="3"/>
  <c r="F342" i="3"/>
  <c r="F350" i="3"/>
  <c r="F358" i="3"/>
  <c r="F366" i="3"/>
  <c r="F374" i="3"/>
  <c r="F382" i="3"/>
  <c r="F390" i="3"/>
  <c r="F398" i="3"/>
  <c r="F406" i="3"/>
  <c r="F414" i="3"/>
  <c r="F422" i="3"/>
  <c r="F430" i="3"/>
  <c r="F438" i="3"/>
  <c r="F446" i="3"/>
  <c r="F454" i="3"/>
  <c r="F462" i="3"/>
  <c r="F470" i="3"/>
  <c r="F478" i="3"/>
  <c r="F486" i="3"/>
  <c r="F494" i="3"/>
  <c r="F502" i="3"/>
  <c r="F510" i="3"/>
  <c r="E23" i="3"/>
  <c r="E31" i="3"/>
  <c r="E39" i="3"/>
  <c r="E47" i="3"/>
  <c r="E55" i="3"/>
  <c r="E64" i="3"/>
  <c r="E72" i="3"/>
  <c r="E80" i="3"/>
  <c r="E88" i="3"/>
  <c r="E96" i="3"/>
  <c r="E104" i="3"/>
  <c r="E112" i="3"/>
  <c r="E120" i="3"/>
  <c r="E128" i="3"/>
  <c r="E136" i="3"/>
  <c r="E144" i="3"/>
  <c r="E152" i="3"/>
  <c r="E160" i="3"/>
  <c r="E168" i="3"/>
  <c r="E176" i="3"/>
  <c r="E184" i="3"/>
  <c r="E192" i="3"/>
  <c r="E200" i="3"/>
  <c r="F22" i="3"/>
  <c r="F23" i="3"/>
  <c r="F31" i="3"/>
  <c r="F39" i="3"/>
  <c r="F47" i="3"/>
  <c r="F55" i="3"/>
  <c r="F64" i="3"/>
  <c r="F72" i="3"/>
  <c r="F80" i="3"/>
  <c r="F88" i="3"/>
  <c r="F96" i="3"/>
  <c r="F104" i="3"/>
  <c r="F112" i="3"/>
  <c r="F120" i="3"/>
  <c r="F128" i="3"/>
  <c r="F136" i="3"/>
  <c r="F144" i="3"/>
  <c r="F152" i="3"/>
  <c r="F160" i="3"/>
  <c r="F168" i="3"/>
  <c r="F176" i="3"/>
  <c r="F184" i="3"/>
  <c r="F192" i="3"/>
  <c r="F200" i="3"/>
  <c r="F208" i="3"/>
  <c r="F216" i="3"/>
  <c r="F224" i="3"/>
  <c r="F232" i="3"/>
  <c r="F240" i="3"/>
  <c r="F248" i="3"/>
  <c r="F256" i="3"/>
  <c r="F264" i="3"/>
  <c r="F272" i="3"/>
  <c r="F280" i="3"/>
  <c r="F288" i="3"/>
  <c r="F296" i="3"/>
  <c r="F304" i="3"/>
  <c r="F312" i="3"/>
  <c r="F320" i="3"/>
  <c r="F328" i="3"/>
  <c r="F336" i="3"/>
  <c r="F344" i="3"/>
  <c r="F352" i="3"/>
  <c r="F360" i="3"/>
  <c r="F368" i="3"/>
  <c r="F376" i="3"/>
  <c r="F384" i="3"/>
  <c r="F392" i="3"/>
  <c r="F400" i="3"/>
  <c r="F408" i="3"/>
  <c r="F416" i="3"/>
  <c r="F424" i="3"/>
  <c r="F432" i="3"/>
  <c r="F440" i="3"/>
  <c r="F448" i="3"/>
  <c r="F456" i="3"/>
  <c r="F464" i="3"/>
  <c r="F472" i="3"/>
  <c r="F480" i="3"/>
  <c r="F488" i="3"/>
  <c r="F496" i="3"/>
  <c r="F504" i="3"/>
  <c r="F512" i="3"/>
  <c r="E25" i="3"/>
  <c r="E33" i="3"/>
  <c r="E41" i="3"/>
  <c r="E49" i="3"/>
  <c r="E57" i="3"/>
  <c r="E66" i="3"/>
  <c r="E74" i="3"/>
  <c r="E82" i="3"/>
  <c r="E90" i="3"/>
  <c r="E98" i="3"/>
  <c r="E106" i="3"/>
  <c r="E114" i="3"/>
  <c r="E122" i="3"/>
  <c r="E130" i="3"/>
  <c r="E138" i="3"/>
  <c r="E146" i="3"/>
  <c r="E154" i="3"/>
  <c r="E162" i="3"/>
  <c r="E170" i="3"/>
  <c r="E178" i="3"/>
  <c r="E186" i="3"/>
  <c r="F24" i="3"/>
  <c r="F32" i="3"/>
  <c r="F40" i="3"/>
  <c r="F48" i="3"/>
  <c r="F56" i="3"/>
  <c r="F65" i="3"/>
  <c r="F73" i="3"/>
  <c r="F81" i="3"/>
  <c r="F89" i="3"/>
  <c r="F97" i="3"/>
  <c r="F105" i="3"/>
  <c r="F113" i="3"/>
  <c r="F121" i="3"/>
  <c r="F129" i="3"/>
  <c r="F137" i="3"/>
  <c r="F145" i="3"/>
  <c r="F153" i="3"/>
  <c r="F161" i="3"/>
  <c r="F169" i="3"/>
  <c r="F177" i="3"/>
  <c r="F185" i="3"/>
  <c r="F193" i="3"/>
  <c r="F201" i="3"/>
  <c r="F209" i="3"/>
  <c r="F217" i="3"/>
  <c r="F225" i="3"/>
  <c r="F233" i="3"/>
  <c r="F241" i="3"/>
  <c r="F249" i="3"/>
  <c r="F257" i="3"/>
  <c r="F265" i="3"/>
  <c r="F273" i="3"/>
  <c r="F281" i="3"/>
  <c r="F289" i="3"/>
  <c r="F297" i="3"/>
  <c r="F305" i="3"/>
  <c r="F313" i="3"/>
  <c r="F321" i="3"/>
  <c r="F329" i="3"/>
  <c r="F337" i="3"/>
  <c r="F345" i="3"/>
  <c r="F353" i="3"/>
  <c r="F361" i="3"/>
  <c r="F369" i="3"/>
  <c r="F377" i="3"/>
  <c r="F385" i="3"/>
  <c r="F393" i="3"/>
  <c r="F401" i="3"/>
  <c r="F409" i="3"/>
  <c r="F417" i="3"/>
  <c r="F425" i="3"/>
  <c r="F433" i="3"/>
  <c r="F441" i="3"/>
  <c r="F449" i="3"/>
  <c r="F457" i="3"/>
  <c r="F465" i="3"/>
  <c r="F473" i="3"/>
  <c r="F481" i="3"/>
  <c r="F489" i="3"/>
  <c r="F497" i="3"/>
  <c r="F505" i="3"/>
  <c r="F513" i="3"/>
  <c r="E26" i="3"/>
  <c r="E34" i="3"/>
  <c r="E42" i="3"/>
  <c r="E50" i="3"/>
  <c r="E58" i="3"/>
  <c r="E67" i="3"/>
  <c r="E75" i="3"/>
  <c r="E83" i="3"/>
  <c r="E91" i="3"/>
  <c r="E99" i="3"/>
  <c r="E107" i="3"/>
  <c r="E115" i="3"/>
  <c r="E123" i="3"/>
  <c r="E131" i="3"/>
  <c r="E139" i="3"/>
  <c r="E147" i="3"/>
  <c r="E155" i="3"/>
  <c r="E163" i="3"/>
  <c r="E171" i="3"/>
  <c r="E179" i="3"/>
  <c r="E187" i="3"/>
  <c r="F25" i="3"/>
  <c r="F33" i="3"/>
  <c r="F41" i="3"/>
  <c r="F49" i="3"/>
  <c r="F57" i="3"/>
  <c r="F66" i="3"/>
  <c r="F74" i="3"/>
  <c r="F82" i="3"/>
  <c r="F90" i="3"/>
  <c r="F98" i="3"/>
  <c r="F106" i="3"/>
  <c r="F114" i="3"/>
  <c r="F122" i="3"/>
  <c r="F130" i="3"/>
  <c r="F138" i="3"/>
  <c r="F146" i="3"/>
  <c r="F154" i="3"/>
  <c r="F162" i="3"/>
  <c r="F170" i="3"/>
  <c r="F178" i="3"/>
  <c r="F186" i="3"/>
  <c r="F194" i="3"/>
  <c r="F202" i="3"/>
  <c r="F210" i="3"/>
  <c r="F218" i="3"/>
  <c r="F226" i="3"/>
  <c r="F234" i="3"/>
  <c r="F242" i="3"/>
  <c r="F250" i="3"/>
  <c r="F258" i="3"/>
  <c r="F266" i="3"/>
  <c r="F274" i="3"/>
  <c r="F282" i="3"/>
  <c r="F290" i="3"/>
  <c r="F298" i="3"/>
  <c r="F306" i="3"/>
  <c r="F314" i="3"/>
  <c r="F322" i="3"/>
  <c r="F330" i="3"/>
  <c r="F338" i="3"/>
  <c r="F346" i="3"/>
  <c r="F354" i="3"/>
  <c r="F362" i="3"/>
  <c r="F370" i="3"/>
  <c r="F378" i="3"/>
  <c r="F386" i="3"/>
  <c r="F394" i="3"/>
  <c r="F402" i="3"/>
  <c r="F410" i="3"/>
  <c r="F418" i="3"/>
  <c r="F426" i="3"/>
  <c r="F434" i="3"/>
  <c r="F442" i="3"/>
  <c r="F450" i="3"/>
  <c r="F458" i="3"/>
  <c r="F466" i="3"/>
  <c r="F474" i="3"/>
  <c r="F482" i="3"/>
  <c r="F490" i="3"/>
  <c r="F498" i="3"/>
  <c r="F506" i="3"/>
  <c r="F514" i="3"/>
  <c r="E27" i="3"/>
  <c r="E35" i="3"/>
  <c r="E43" i="3"/>
  <c r="E51" i="3"/>
  <c r="E59" i="3"/>
  <c r="E68" i="3"/>
  <c r="E76" i="3"/>
  <c r="E84" i="3"/>
  <c r="E92" i="3"/>
  <c r="E100" i="3"/>
  <c r="E108" i="3"/>
  <c r="E116" i="3"/>
  <c r="E124" i="3"/>
  <c r="E132" i="3"/>
  <c r="E140" i="3"/>
  <c r="E148" i="3"/>
  <c r="E156" i="3"/>
  <c r="E164" i="3"/>
  <c r="E172" i="3"/>
  <c r="E180" i="3"/>
  <c r="E188" i="3"/>
  <c r="E196" i="3"/>
  <c r="E204" i="3"/>
  <c r="E503" i="3"/>
  <c r="E495" i="3"/>
  <c r="E487" i="3"/>
  <c r="E479" i="3"/>
  <c r="E471" i="3"/>
  <c r="E463" i="3"/>
  <c r="E455" i="3"/>
  <c r="E447" i="3"/>
  <c r="E7" i="3"/>
  <c r="F17" i="3"/>
  <c r="F9" i="3"/>
  <c r="E436" i="3"/>
  <c r="E428" i="3"/>
  <c r="E420" i="3"/>
  <c r="E412" i="3"/>
  <c r="E404" i="3"/>
  <c r="E396" i="3"/>
  <c r="E388" i="3"/>
  <c r="E380" i="3"/>
  <c r="E372" i="3"/>
  <c r="E364" i="3"/>
  <c r="E356" i="3"/>
  <c r="E348" i="3"/>
  <c r="E340" i="3"/>
  <c r="E332" i="3"/>
  <c r="E324" i="3"/>
  <c r="E316" i="3"/>
  <c r="E308" i="3"/>
  <c r="E300" i="3"/>
  <c r="E292" i="3"/>
  <c r="E284" i="3"/>
  <c r="E276" i="3"/>
  <c r="E268" i="3"/>
  <c r="E260" i="3"/>
  <c r="E252" i="3"/>
  <c r="E244" i="3"/>
  <c r="E236" i="3"/>
  <c r="E228" i="3"/>
  <c r="E220" i="3"/>
  <c r="E212" i="3"/>
  <c r="E202" i="3"/>
  <c r="E181" i="3"/>
  <c r="E149" i="3"/>
  <c r="E117" i="3"/>
  <c r="E85" i="3"/>
  <c r="E52" i="3"/>
  <c r="E20" i="3"/>
  <c r="F483" i="3"/>
  <c r="F451" i="3"/>
  <c r="F419" i="3"/>
  <c r="F387" i="3"/>
  <c r="F355" i="3"/>
  <c r="F323" i="3"/>
  <c r="F291" i="3"/>
  <c r="F259" i="3"/>
  <c r="F227" i="3"/>
  <c r="F195" i="3"/>
  <c r="F163" i="3"/>
  <c r="F131" i="3"/>
  <c r="F99" i="3"/>
  <c r="F67" i="3"/>
  <c r="F30" i="3"/>
  <c r="E500" i="3"/>
  <c r="E460" i="3"/>
  <c r="F6" i="3"/>
  <c r="E401" i="3"/>
  <c r="E353" i="3"/>
  <c r="E305" i="3"/>
  <c r="E233" i="3"/>
  <c r="E475" i="3"/>
  <c r="E443" i="3"/>
  <c r="E432" i="3"/>
  <c r="E392" i="3"/>
  <c r="E360" i="3"/>
  <c r="E320" i="3"/>
  <c r="E272" i="3"/>
  <c r="E240" i="3"/>
  <c r="E194" i="3"/>
  <c r="E36" i="3"/>
  <c r="F275" i="3"/>
  <c r="F50" i="3"/>
  <c r="E502" i="3"/>
  <c r="E494" i="3"/>
  <c r="E486" i="3"/>
  <c r="E478" i="3"/>
  <c r="E470" i="3"/>
  <c r="E462" i="3"/>
  <c r="E454" i="3"/>
  <c r="E446" i="3"/>
  <c r="E14" i="3"/>
  <c r="E6" i="3"/>
  <c r="F16" i="3"/>
  <c r="F8" i="3"/>
  <c r="E435" i="3"/>
  <c r="E427" i="3"/>
  <c r="E419" i="3"/>
  <c r="E411" i="3"/>
  <c r="E403" i="3"/>
  <c r="E395" i="3"/>
  <c r="E387" i="3"/>
  <c r="E379" i="3"/>
  <c r="E371" i="3"/>
  <c r="E363" i="3"/>
  <c r="E355" i="3"/>
  <c r="E347" i="3"/>
  <c r="E339" i="3"/>
  <c r="E331" i="3"/>
  <c r="E323" i="3"/>
  <c r="E315" i="3"/>
  <c r="E307" i="3"/>
  <c r="E299" i="3"/>
  <c r="E291" i="3"/>
  <c r="E283" i="3"/>
  <c r="E275" i="3"/>
  <c r="E267" i="3"/>
  <c r="E259" i="3"/>
  <c r="E251" i="3"/>
  <c r="E243" i="3"/>
  <c r="E235" i="3"/>
  <c r="E227" i="3"/>
  <c r="E219" i="3"/>
  <c r="E211" i="3"/>
  <c r="E201" i="3"/>
  <c r="E177" i="3"/>
  <c r="E145" i="3"/>
  <c r="E113" i="3"/>
  <c r="E81" i="3"/>
  <c r="E48" i="3"/>
  <c r="F511" i="3"/>
  <c r="F479" i="3"/>
  <c r="F447" i="3"/>
  <c r="F415" i="3"/>
  <c r="F383" i="3"/>
  <c r="F351" i="3"/>
  <c r="F319" i="3"/>
  <c r="F287" i="3"/>
  <c r="F255" i="3"/>
  <c r="F223" i="3"/>
  <c r="F191" i="3"/>
  <c r="F159" i="3"/>
  <c r="F127" i="3"/>
  <c r="F95" i="3"/>
  <c r="F63" i="3"/>
  <c r="E484" i="3"/>
  <c r="E444" i="3"/>
  <c r="E433" i="3"/>
  <c r="E385" i="3"/>
  <c r="E337" i="3"/>
  <c r="E289" i="3"/>
  <c r="E257" i="3"/>
  <c r="E499" i="3"/>
  <c r="E451" i="3"/>
  <c r="F5" i="3"/>
  <c r="E408" i="3"/>
  <c r="E368" i="3"/>
  <c r="E336" i="3"/>
  <c r="E296" i="3"/>
  <c r="E248" i="3"/>
  <c r="E216" i="3"/>
  <c r="E101" i="3"/>
  <c r="F435" i="3"/>
  <c r="F243" i="3"/>
  <c r="E501" i="3"/>
  <c r="E493" i="3"/>
  <c r="E485" i="3"/>
  <c r="E477" i="3"/>
  <c r="E469" i="3"/>
  <c r="E461" i="3"/>
  <c r="E453" i="3"/>
  <c r="E445" i="3"/>
  <c r="E13" i="3"/>
  <c r="E5" i="3"/>
  <c r="F15" i="3"/>
  <c r="F7" i="3"/>
  <c r="E442" i="3"/>
  <c r="E434" i="3"/>
  <c r="E426" i="3"/>
  <c r="E418" i="3"/>
  <c r="E410" i="3"/>
  <c r="E402" i="3"/>
  <c r="E394" i="3"/>
  <c r="E386" i="3"/>
  <c r="E378" i="3"/>
  <c r="E370" i="3"/>
  <c r="E362" i="3"/>
  <c r="E354" i="3"/>
  <c r="E346" i="3"/>
  <c r="E338" i="3"/>
  <c r="E330" i="3"/>
  <c r="E322" i="3"/>
  <c r="E314" i="3"/>
  <c r="E306" i="3"/>
  <c r="E298" i="3"/>
  <c r="E290" i="3"/>
  <c r="E282" i="3"/>
  <c r="E274" i="3"/>
  <c r="E266" i="3"/>
  <c r="E258" i="3"/>
  <c r="E250" i="3"/>
  <c r="E242" i="3"/>
  <c r="E234" i="3"/>
  <c r="E226" i="3"/>
  <c r="E218" i="3"/>
  <c r="E210" i="3"/>
  <c r="E197" i="3"/>
  <c r="E173" i="3"/>
  <c r="E141" i="3"/>
  <c r="E109" i="3"/>
  <c r="E77" i="3"/>
  <c r="E44" i="3"/>
  <c r="F507" i="3"/>
  <c r="F475" i="3"/>
  <c r="F443" i="3"/>
  <c r="F411" i="3"/>
  <c r="F379" i="3"/>
  <c r="F347" i="3"/>
  <c r="F315" i="3"/>
  <c r="F283" i="3"/>
  <c r="F251" i="3"/>
  <c r="F219" i="3"/>
  <c r="F187" i="3"/>
  <c r="F155" i="3"/>
  <c r="F123" i="3"/>
  <c r="F91" i="3"/>
  <c r="F58" i="3"/>
  <c r="E514" i="3"/>
  <c r="E510" i="3"/>
  <c r="E515" i="3"/>
  <c r="E521" i="3"/>
  <c r="E522" i="3"/>
  <c r="E506" i="3"/>
  <c r="E509" i="3"/>
  <c r="E513" i="3"/>
  <c r="E519" i="3"/>
  <c r="E511" i="3"/>
  <c r="E507" i="3"/>
  <c r="E517" i="3"/>
  <c r="E518" i="3"/>
  <c r="E520" i="3"/>
  <c r="E512" i="3"/>
  <c r="E516" i="3"/>
  <c r="E508" i="3"/>
</calcChain>
</file>

<file path=xl/sharedStrings.xml><?xml version="1.0" encoding="utf-8"?>
<sst xmlns="http://schemas.openxmlformats.org/spreadsheetml/2006/main" count="370" uniqueCount="94">
  <si>
    <t>Despesas</t>
  </si>
  <si>
    <t>Rótulos de Linha</t>
  </si>
  <si>
    <t>Total Geral</t>
  </si>
  <si>
    <t>Rótulos de Coluna</t>
  </si>
  <si>
    <t>Chave</t>
  </si>
  <si>
    <t>Forn</t>
  </si>
  <si>
    <t>Serv</t>
  </si>
  <si>
    <t>Pag</t>
  </si>
  <si>
    <t>Tipo</t>
  </si>
  <si>
    <t>Variavel</t>
  </si>
  <si>
    <t>Valor</t>
  </si>
  <si>
    <t>Vencimento</t>
  </si>
  <si>
    <t>Mes</t>
  </si>
  <si>
    <t>Janeiro</t>
  </si>
  <si>
    <t>Fevereiro</t>
  </si>
  <si>
    <t>Banco de Dados</t>
  </si>
  <si>
    <t>Fornecedores</t>
  </si>
  <si>
    <t>Forn1</t>
  </si>
  <si>
    <t>Forn2</t>
  </si>
  <si>
    <t>Forn3</t>
  </si>
  <si>
    <t>Forn4</t>
  </si>
  <si>
    <t>Des1</t>
  </si>
  <si>
    <t>Des2</t>
  </si>
  <si>
    <t>Des3</t>
  </si>
  <si>
    <t>Des4</t>
  </si>
  <si>
    <t>Forma</t>
  </si>
  <si>
    <t>Fixo</t>
  </si>
  <si>
    <t>Boleto</t>
  </si>
  <si>
    <t>NF</t>
  </si>
  <si>
    <t>Deposito</t>
  </si>
  <si>
    <t>Debito</t>
  </si>
  <si>
    <t>Forn5</t>
  </si>
  <si>
    <t>Soma de Valor</t>
  </si>
  <si>
    <t>(Vários itens)</t>
  </si>
  <si>
    <t>Forn6</t>
  </si>
  <si>
    <t>Índice</t>
  </si>
  <si>
    <t>Pagamento</t>
  </si>
  <si>
    <t>ok</t>
  </si>
  <si>
    <t>Status Pagamento</t>
  </si>
  <si>
    <t>ag</t>
  </si>
  <si>
    <t>Período</t>
  </si>
  <si>
    <t>Mês</t>
  </si>
  <si>
    <t>Descricao</t>
  </si>
  <si>
    <t>Fornecedor</t>
  </si>
  <si>
    <t>Data de Vencimento</t>
  </si>
  <si>
    <t>x</t>
  </si>
  <si>
    <t>15/8/2016</t>
  </si>
  <si>
    <t>Marco</t>
  </si>
  <si>
    <t>Forn7</t>
  </si>
  <si>
    <t>Gerar Capa</t>
  </si>
  <si>
    <t>Nome</t>
  </si>
  <si>
    <t>Cadastrar novo Fornecedor</t>
  </si>
  <si>
    <t>Cadastar serviço para Fornecedor Existente</t>
  </si>
  <si>
    <t>Descrição</t>
  </si>
  <si>
    <t>Forma de Pagamento</t>
  </si>
  <si>
    <t>Forn8</t>
  </si>
  <si>
    <t>Forn9</t>
  </si>
  <si>
    <t>Forn10</t>
  </si>
  <si>
    <t>Forn11</t>
  </si>
  <si>
    <t>Forn12</t>
  </si>
  <si>
    <t>Forn13</t>
  </si>
  <si>
    <t>Forn14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</si>
  <si>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</si>
  <si>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</si>
  <si>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</si>
  <si>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</si>
  <si>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</si>
  <si>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</si>
  <si>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</si>
  <si>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</si>
  <si>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</si>
  <si>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</si>
  <si>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NF/DEPÓSITO</t>
  </si>
  <si>
    <t>NF/BOLETO</t>
  </si>
  <si>
    <t>BOLETO</t>
  </si>
  <si>
    <t>DÉBITO</t>
  </si>
  <si>
    <t>FATURA</t>
  </si>
  <si>
    <t>FIXO</t>
  </si>
  <si>
    <t>VARIÁVEL</t>
  </si>
  <si>
    <t>CNPJ</t>
  </si>
  <si>
    <t>Agencia</t>
  </si>
  <si>
    <t>Cta Corrente</t>
  </si>
  <si>
    <t>Regular/Irregular</t>
  </si>
  <si>
    <t>Contrato</t>
  </si>
  <si>
    <t>Motivo sem contrato</t>
  </si>
  <si>
    <t>Pedido</t>
  </si>
  <si>
    <t>19/03/2016</t>
  </si>
  <si>
    <t>Agência</t>
  </si>
  <si>
    <t>Regular</t>
  </si>
  <si>
    <t>Irregular</t>
  </si>
  <si>
    <t>Com Contrato</t>
  </si>
  <si>
    <t>Sem Contrato</t>
  </si>
  <si>
    <t xml:space="preserve"> </t>
  </si>
  <si>
    <t>Motivo ( Se não tiver contrato)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</si>
</sst>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16]d\-mmm\-yy;@"/>
  </numFmts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0" borderId="0" xfId="0" applyBorder="1"/>
    <xf numFmtId="0" fontId="0" fillId="0" borderId="0" xfId="0" applyFont="1" applyFill="1" applyBorder="1"/>
    <xf numFmtId="0" fontId="0" fillId="0" borderId="0" xfId="0" applyFont="1" applyBorder="1"/>
    <xf numFmtId="14" fontId="0" fillId="0" borderId="0" xfId="0" applyNumberFormat="1" applyBorder="1"/>
    <xf numFmtId="164" fontId="0" fillId="0" borderId="0" xfId="0" applyNumberFormat="1" applyBorder="1"/>
    <xf numFmtId="0" fontId="0" fillId="2" borderId="1" xfId="0" applyFill="1" applyBorder="1"/>
    <xf numFmtId="0" fontId="0" fillId="0" borderId="1" xfId="0" applyBorder="1"/>
    <xf numFmtId="14" fontId="0" fillId="0" borderId="1" xfId="0" applyNumberFormat="1" applyBorder="1"/>
    <xf numFmtId="0" fontId="0" fillId="0" borderId="1" xfId="0" applyFill="1" applyBorder="1"/>
    <xf numFmtId="0" fontId="1" fillId="0" borderId="1" xfId="0" applyFont="1" applyFill="1" applyBorder="1"/>
    <xf numFmtId="0" fontId="0" fillId="0" borderId="1" xfId="0" applyFont="1" applyFill="1" applyBorder="1"/>
    <xf numFmtId="14" fontId="0" fillId="2" borderId="1" xfId="0" applyNumberFormat="1" applyFill="1" applyBorder="1" applyAlignment="1">
      <alignment horizontal="right"/>
    </xf>
    <xf numFmtId="14" fontId="0" fillId="0" borderId="1" xfId="0" applyNumberFormat="1" applyBorder="1" applyAlignment="1">
      <alignment horizontal="right"/>
    </xf>
    <xf numFmtId="0" fontId="3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0" xfId="0" applyFont="1"/>
    <xf numFmtId="0" fontId="3" fillId="0" borderId="3" xfId="0" applyFont="1" applyFill="1" applyBorder="1"/>
    <xf numFmtId="0" fontId="0" fillId="0" borderId="4" xfId="0" applyBorder="1"/>
    <xf numFmtId="0" fontId="0" fillId="0" borderId="5" xfId="0" applyBorder="1"/>
    <xf numFmtId="0" fontId="0" fillId="0" borderId="6" xfId="0" applyFont="1" applyFill="1" applyBorder="1"/>
    <xf numFmtId="0" fontId="0" fillId="0" borderId="7" xfId="0" applyBorder="1"/>
    <xf numFmtId="0" fontId="0" fillId="0" borderId="2" xfId="0" applyFont="1" applyFill="1" applyBorder="1"/>
    <xf numFmtId="0" fontId="0" fillId="0" borderId="2" xfId="0" applyBorder="1"/>
    <xf numFmtId="0" fontId="0" fillId="0" borderId="9" xfId="0" applyBorder="1"/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0" fillId="0" borderId="6" xfId="0" applyBorder="1"/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Font="1" applyBorder="1"/>
    <xf numFmtId="0" fontId="0" fillId="0" borderId="8" xfId="0" applyBorder="1"/>
    <xf numFmtId="0" fontId="0" fillId="0" borderId="9" xfId="0" applyFont="1" applyBorder="1"/>
    <xf numFmtId="0" fontId="0" fillId="0" borderId="0" xfId="0" applyBorder="1" applyAlignment="1">
      <alignment horizontal="center"/>
    </xf>
    <xf numFmtId="0" fontId="0" fillId="0" borderId="3" xfId="0" applyBorder="1"/>
    <xf numFmtId="0" fontId="0" fillId="0" borderId="0" xfId="0" applyBorder="1" applyAlignment="1"/>
    <xf numFmtId="0" fontId="0" fillId="0" borderId="10" xfId="0" applyBorder="1"/>
    <xf numFmtId="164" fontId="0" fillId="0" borderId="6" xfId="0" applyNumberFormat="1" applyBorder="1"/>
    <xf numFmtId="0" fontId="0" fillId="0" borderId="6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14" fontId="0" fillId="0" borderId="10" xfId="0" applyNumberFormat="1" applyBorder="1"/>
    <xf numFmtId="0" fontId="0" fillId="0" borderId="6" xfId="0" applyFont="1" applyBorder="1"/>
  </cellXfs>
  <cellStyles count="1">
    <cellStyle name="Normal" xfId="0" builtinId="0"/>
  </cellStyles>
  <dxfs count="13">
    <dxf>
      <numFmt numFmtId="0" formatCode="General"/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F6D6D"/>
      <color rgb="FFFF4B4B"/>
      <color rgb="FFFFB3B3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 Despesas.xlsm]Relatório!Tabela dinâmica1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Relatório!$B$3:$B$4</c:f>
              <c:strCache>
                <c:ptCount val="1"/>
                <c:pt idx="0">
                  <c:v>Fevereiro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Relatório!$A$5:$A$22</c:f>
              <c:multiLvlStrCache>
                <c:ptCount val="11"/>
                <c:lvl>
                  <c:pt idx="0">
                    <c:v>Des2</c:v>
                  </c:pt>
                  <c:pt idx="1">
                    <c:v>Des2</c:v>
                  </c:pt>
                  <c:pt idx="2">
                    <c:v>Des3</c:v>
                  </c:pt>
                  <c:pt idx="3">
                    <c:v>Des4</c:v>
                  </c:pt>
                  <c:pt idx="4">
                    <c:v>Des2</c:v>
                  </c:pt>
                  <c:pt idx="5">
                    <c:v>Des3</c:v>
                  </c:pt>
                  <c:pt idx="6">
                    <c:v>Des2</c:v>
                  </c:pt>
                  <c:pt idx="7">
                    <c:v>Des3</c:v>
                  </c:pt>
                  <c:pt idx="8">
                    <c:v>Des1</c:v>
                  </c:pt>
                  <c:pt idx="9">
                    <c:v>Des2</c:v>
                  </c:pt>
                  <c:pt idx="10">
                    <c:v>Des2</c:v>
                  </c:pt>
                </c:lvl>
                <c:lvl>
                  <c:pt idx="0">
                    <c:v>Forn1</c:v>
                  </c:pt>
                  <c:pt idx="1">
                    <c:v>Forn2</c:v>
                  </c:pt>
                  <c:pt idx="4">
                    <c:v>Forn3</c:v>
                  </c:pt>
                  <c:pt idx="6">
                    <c:v>Forn4</c:v>
                  </c:pt>
                  <c:pt idx="8">
                    <c:v>Forn5</c:v>
                  </c:pt>
                  <c:pt idx="10">
                    <c:v>Forn6</c:v>
                  </c:pt>
                </c:lvl>
              </c:multiLvlStrCache>
            </c:multiLvlStrRef>
          </c:cat>
          <c:val>
            <c:numRef>
              <c:f>Relatório!$B$5:$B$22</c:f>
              <c:numCache>
                <c:formatCode>Geral</c:formatCode>
                <c:ptCount val="11"/>
                <c:pt idx="2">
                  <c:v>570</c:v>
                </c:pt>
                <c:pt idx="4">
                  <c:v>555</c:v>
                </c:pt>
                <c:pt idx="5">
                  <c:v>1175</c:v>
                </c:pt>
                <c:pt idx="7">
                  <c:v>544</c:v>
                </c:pt>
                <c:pt idx="8">
                  <c:v>2</c:v>
                </c:pt>
                <c:pt idx="9">
                  <c:v>1652</c:v>
                </c:pt>
                <c:pt idx="10">
                  <c:v>80000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247-41D3-B772-E75DC5A69713}"/>
            </c:ext>
          </c:extLst>
        </c:ser>
        <c:ser>
          <c:idx val="1"/>
          <c:order val="1"/>
          <c:tx>
            <c:strRef>
              <c:f>Relatório!$C$3:$C$4</c:f>
              <c:strCache>
                <c:ptCount val="1"/>
                <c:pt idx="0">
                  <c:v>Janeiro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Relatório!$A$5:$A$22</c:f>
              <c:multiLvlStrCache>
                <c:ptCount val="11"/>
                <c:lvl>
                  <c:pt idx="0">
                    <c:v>Des2</c:v>
                  </c:pt>
                  <c:pt idx="1">
                    <c:v>Des2</c:v>
                  </c:pt>
                  <c:pt idx="2">
                    <c:v>Des3</c:v>
                  </c:pt>
                  <c:pt idx="3">
                    <c:v>Des4</c:v>
                  </c:pt>
                  <c:pt idx="4">
                    <c:v>Des2</c:v>
                  </c:pt>
                  <c:pt idx="5">
                    <c:v>Des3</c:v>
                  </c:pt>
                  <c:pt idx="6">
                    <c:v>Des2</c:v>
                  </c:pt>
                  <c:pt idx="7">
                    <c:v>Des3</c:v>
                  </c:pt>
                  <c:pt idx="8">
                    <c:v>Des1</c:v>
                  </c:pt>
                  <c:pt idx="9">
                    <c:v>Des2</c:v>
                  </c:pt>
                  <c:pt idx="10">
                    <c:v>Des2</c:v>
                  </c:pt>
                </c:lvl>
                <c:lvl>
                  <c:pt idx="0">
                    <c:v>Forn1</c:v>
                  </c:pt>
                  <c:pt idx="1">
                    <c:v>Forn2</c:v>
                  </c:pt>
                  <c:pt idx="4">
                    <c:v>Forn3</c:v>
                  </c:pt>
                  <c:pt idx="6">
                    <c:v>Forn4</c:v>
                  </c:pt>
                  <c:pt idx="8">
                    <c:v>Forn5</c:v>
                  </c:pt>
                  <c:pt idx="10">
                    <c:v>Forn6</c:v>
                  </c:pt>
                </c:lvl>
              </c:multiLvlStrCache>
            </c:multiLvlStrRef>
          </c:cat>
          <c:val>
            <c:numRef>
              <c:f>Relatório!$C$5:$C$22</c:f>
              <c:numCache>
                <c:formatCode>Geral</c:formatCode>
                <c:ptCount val="11"/>
                <c:pt idx="0">
                  <c:v>123</c:v>
                </c:pt>
                <c:pt idx="1">
                  <c:v>42</c:v>
                </c:pt>
                <c:pt idx="2">
                  <c:v>20125</c:v>
                </c:pt>
                <c:pt idx="3">
                  <c:v>5084</c:v>
                </c:pt>
                <c:pt idx="4">
                  <c:v>45422</c:v>
                </c:pt>
                <c:pt idx="5">
                  <c:v>73</c:v>
                </c:pt>
                <c:pt idx="6">
                  <c:v>18</c:v>
                </c:pt>
                <c:pt idx="7">
                  <c:v>254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247-41D3-B772-E75DC5A69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901376"/>
        <c:axId val="94902912"/>
      </c:barChart>
      <c:catAx>
        <c:axId val="94901376"/>
        <c:scaling>
          <c:orientation val="minMax"/>
        </c:scaling>
        <c:delete val="0"/>
        <c:axPos val="b"/>
        <c:numFmt formatCode="G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4902912"/>
        <c:crosses val="autoZero"/>
        <c:auto val="1"/>
        <c:lblAlgn val="ctr"/>
        <c:lblOffset val="100"/>
        <c:noMultiLvlLbl val="0"/>
      </c:catAx>
      <c:valAx>
        <c:axId val="9490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4901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16" fmlaLink="$AB$30" fmlaRange="'Banco de Dados'!$T$3:$T$4" sel="2" val="0"/>
</file>

<file path=xl/ctrlProps/ctrlProp5.xml><?xml version="1.0" encoding="utf-8"?>
<formControlPr xmlns="http://schemas.microsoft.com/office/spreadsheetml/2009/9/main" objectType="Drop" dropStyle="combo" dx="16" fmlaLink="$AB$27" fmlaRange="'Banco de Dados'!$X$3:$X$7" val="0"/>
</file>

<file path=xl/ctrlProps/ctrlProp6.xml><?xml version="1.0" encoding="utf-8"?>
<formControlPr xmlns="http://schemas.microsoft.com/office/spreadsheetml/2009/9/main" objectType="Drop" dropStyle="combo" dx="16" fmlaLink="$AC$4" fmlaRange="'Banco de Dados'!$V$3:$V$14" val="0"/>
</file>

<file path=xl/ctrlProps/ctrlProp7.xml><?xml version="1.0" encoding="utf-8"?>
<formControlPr xmlns="http://schemas.microsoft.com/office/spreadsheetml/2009/9/main" objectType="Drop" dropStyle="combo" dx="16" fmlaRange="'Banco de Dados'!$Z$3:$Z$4" val="0"/>
</file>

<file path=xl/ctrlProps/ctrlProp8.xml><?xml version="1.0" encoding="utf-8"?>
<formControlPr xmlns="http://schemas.microsoft.com/office/spreadsheetml/2009/9/main" objectType="Drop" dropStyle="combo" dx="16" fmlaRange="'Banco de Dados'!$AB$3:$AB$4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271462</xdr:colOff>
      <xdr:row>0</xdr:row>
      <xdr:rowOff>0</xdr:rowOff>
    </xdr:from>
    <xdr:to>
      <xdr:col>15</xdr:col>
      <xdr:colOff>419100</xdr:colOff>
      <xdr:row>16</xdr:row>
      <xdr:rowOff>95250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104774</xdr:colOff>
          <xdr:row>8</xdr:row>
          <xdr:rowOff>0</xdr:rowOff>
        </xdr:from>
        <xdr:to>
          <xdr:col>17</xdr:col>
          <xdr:colOff>121443</xdr:colOff>
          <xdr:row>10</xdr:row>
          <xdr:rowOff>133350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Gerar Capa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581025</xdr:colOff>
          <xdr:row>3</xdr:row>
          <xdr:rowOff>40481</xdr:rowOff>
        </xdr:from>
        <xdr:to>
          <xdr:col>15</xdr:col>
          <xdr:colOff>347662</xdr:colOff>
          <xdr:row>4</xdr:row>
          <xdr:rowOff>135731</xdr:rowOff>
        </xdr:to>
        <xdr:sp macro="" textlink="">
          <xdr:nvSpPr>
            <xdr:cNvPr id="2054" name="TextBox1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962025</xdr:colOff>
          <xdr:row>37</xdr:row>
          <xdr:rowOff>76200</xdr:rowOff>
        </xdr:from>
        <xdr:to>
          <xdr:col>15</xdr:col>
          <xdr:colOff>357188</xdr:colOff>
          <xdr:row>38</xdr:row>
          <xdr:rowOff>171450</xdr:rowOff>
        </xdr:to>
        <xdr:sp macro="" textlink="">
          <xdr:nvSpPr>
            <xdr:cNvPr id="2055" name="TextBox2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3</xdr:row>
          <xdr:rowOff>28574</xdr:rowOff>
        </xdr:from>
        <xdr:to>
          <xdr:col>28</xdr:col>
          <xdr:colOff>238125</xdr:colOff>
          <xdr:row>4</xdr:row>
          <xdr:rowOff>190499</xdr:rowOff>
        </xdr:to>
        <xdr:sp macro="" textlink="">
          <xdr:nvSpPr>
            <xdr:cNvPr id="2065" name="TextBox3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376238</xdr:colOff>
          <xdr:row>10</xdr:row>
          <xdr:rowOff>33338</xdr:rowOff>
        </xdr:from>
        <xdr:to>
          <xdr:col>32</xdr:col>
          <xdr:colOff>490538</xdr:colOff>
          <xdr:row>13</xdr:row>
          <xdr:rowOff>80963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Cadastrar novo Fornecedor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130970</xdr:colOff>
          <xdr:row>19</xdr:row>
          <xdr:rowOff>9525</xdr:rowOff>
        </xdr:from>
        <xdr:to>
          <xdr:col>19</xdr:col>
          <xdr:colOff>276225</xdr:colOff>
          <xdr:row>20</xdr:row>
          <xdr:rowOff>152400</xdr:rowOff>
        </xdr:to>
        <xdr:sp macro="" textlink="">
          <xdr:nvSpPr>
            <xdr:cNvPr id="2068" name="TextBox4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22</xdr:row>
          <xdr:rowOff>50006</xdr:rowOff>
        </xdr:from>
        <xdr:to>
          <xdr:col>22</xdr:col>
          <xdr:colOff>364331</xdr:colOff>
          <xdr:row>23</xdr:row>
          <xdr:rowOff>183356</xdr:rowOff>
        </xdr:to>
        <xdr:sp macro="" textlink="">
          <xdr:nvSpPr>
            <xdr:cNvPr id="2069" name="TextBox5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966788</xdr:colOff>
          <xdr:row>42</xdr:row>
          <xdr:rowOff>78581</xdr:rowOff>
        </xdr:from>
        <xdr:to>
          <xdr:col>17</xdr:col>
          <xdr:colOff>326232</xdr:colOff>
          <xdr:row>43</xdr:row>
          <xdr:rowOff>173831</xdr:rowOff>
        </xdr:to>
        <xdr:sp macro="" textlink="">
          <xdr:nvSpPr>
            <xdr:cNvPr id="2070" name="TextBox6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881063</xdr:colOff>
          <xdr:row>39</xdr:row>
          <xdr:rowOff>157163</xdr:rowOff>
        </xdr:from>
        <xdr:to>
          <xdr:col>16</xdr:col>
          <xdr:colOff>319088</xdr:colOff>
          <xdr:row>41</xdr:row>
          <xdr:rowOff>61913</xdr:rowOff>
        </xdr:to>
        <xdr:sp macro="" textlink="">
          <xdr:nvSpPr>
            <xdr:cNvPr id="2071" name="TextBox7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140493</xdr:colOff>
          <xdr:row>30</xdr:row>
          <xdr:rowOff>159544</xdr:rowOff>
        </xdr:from>
        <xdr:to>
          <xdr:col>18</xdr:col>
          <xdr:colOff>21431</xdr:colOff>
          <xdr:row>32</xdr:row>
          <xdr:rowOff>169069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Cadastrar Serviço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152402</xdr:colOff>
          <xdr:row>28</xdr:row>
          <xdr:rowOff>64293</xdr:rowOff>
        </xdr:from>
        <xdr:to>
          <xdr:col>18</xdr:col>
          <xdr:colOff>130971</xdr:colOff>
          <xdr:row>29</xdr:row>
          <xdr:rowOff>130968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152402</xdr:colOff>
          <xdr:row>25</xdr:row>
          <xdr:rowOff>88106</xdr:rowOff>
        </xdr:from>
        <xdr:to>
          <xdr:col>20</xdr:col>
          <xdr:colOff>309563</xdr:colOff>
          <xdr:row>26</xdr:row>
          <xdr:rowOff>130969</xdr:rowOff>
        </xdr:to>
        <xdr:sp macro="" textlink="">
          <xdr:nvSpPr>
            <xdr:cNvPr id="2075" name="Drop Down 27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104774</xdr:colOff>
          <xdr:row>3</xdr:row>
          <xdr:rowOff>45243</xdr:rowOff>
        </xdr:from>
        <xdr:to>
          <xdr:col>19</xdr:col>
          <xdr:colOff>250032</xdr:colOff>
          <xdr:row>4</xdr:row>
          <xdr:rowOff>107156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6</xdr:row>
          <xdr:rowOff>35717</xdr:rowOff>
        </xdr:from>
        <xdr:to>
          <xdr:col>25</xdr:col>
          <xdr:colOff>595313</xdr:colOff>
          <xdr:row>7</xdr:row>
          <xdr:rowOff>154780</xdr:rowOff>
        </xdr:to>
        <xdr:sp macro="" textlink="">
          <xdr:nvSpPr>
            <xdr:cNvPr id="2083" name="TextBox8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604835</xdr:colOff>
          <xdr:row>9</xdr:row>
          <xdr:rowOff>88106</xdr:rowOff>
        </xdr:from>
        <xdr:to>
          <xdr:col>28</xdr:col>
          <xdr:colOff>178593</xdr:colOff>
          <xdr:row>11</xdr:row>
          <xdr:rowOff>11906</xdr:rowOff>
        </xdr:to>
        <xdr:sp macro="" textlink="">
          <xdr:nvSpPr>
            <xdr:cNvPr id="2084" name="TextBox9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12</xdr:row>
          <xdr:rowOff>123825</xdr:rowOff>
        </xdr:from>
        <xdr:to>
          <xdr:col>26</xdr:col>
          <xdr:colOff>23813</xdr:colOff>
          <xdr:row>14</xdr:row>
          <xdr:rowOff>71438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428625</xdr:colOff>
          <xdr:row>3</xdr:row>
          <xdr:rowOff>9525</xdr:rowOff>
        </xdr:from>
        <xdr:to>
          <xdr:col>32</xdr:col>
          <xdr:colOff>500062</xdr:colOff>
          <xdr:row>4</xdr:row>
          <xdr:rowOff>154780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404813</xdr:colOff>
          <xdr:row>6</xdr:row>
          <xdr:rowOff>52388</xdr:rowOff>
        </xdr:from>
        <xdr:to>
          <xdr:col>34</xdr:col>
          <xdr:colOff>414338</xdr:colOff>
          <xdr:row>7</xdr:row>
          <xdr:rowOff>157163</xdr:rowOff>
        </xdr:to>
        <xdr:sp macro="" textlink="">
          <xdr:nvSpPr>
            <xdr:cNvPr id="2087" name="TextBox10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guel Figueiredo Marques" refreshedDate="42447.899855787036" createdVersion="6" refreshedVersion="6" minRefreshableVersion="3" recordCount="524">
  <cacheSource type="worksheet">
    <worksheetSource ref="B1:I1048576" sheet="Despesas"/>
  </cacheSource>
  <cacheFields count="7">
    <cacheField name="Forn" numFmtId="0">
      <sharedItems containsBlank="1" count="7">
        <s v="Forn1"/>
        <s v="Forn2"/>
        <s v="Forn3"/>
        <s v="Forn4"/>
        <s v="Forn5"/>
        <s v="Forn6"/>
        <m/>
      </sharedItems>
    </cacheField>
    <cacheField name="Serv" numFmtId="0">
      <sharedItems containsBlank="1" count="5">
        <s v="Des2"/>
        <s v="Des3"/>
        <s v="Des4"/>
        <s v="Des1"/>
        <m/>
      </sharedItems>
    </cacheField>
    <cacheField name="Pag" numFmtId="0">
      <sharedItems containsBlank="1"/>
    </cacheField>
    <cacheField name="Tipo" numFmtId="0">
      <sharedItems containsBlank="1" count="4">
        <s v="Fixo"/>
        <s v="Variavel"/>
        <s v=""/>
        <m/>
      </sharedItems>
    </cacheField>
    <cacheField name="Valor" numFmtId="0">
      <sharedItems containsString="0" containsBlank="1" containsNumber="1" containsInteger="1" minValue="2" maxValue="80000"/>
    </cacheField>
    <cacheField name="Vencimento" numFmtId="0">
      <sharedItems containsNonDate="0" containsDate="1" containsString="0" containsBlank="1" minDate="2016-12-05T00:00:00" maxDate="2016-12-19T00:00:00"/>
    </cacheField>
    <cacheField name="Mes" numFmtId="0">
      <sharedItems containsBlank="1" count="3">
        <s v="Janeiro"/>
        <s v="Fevereir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4">
  <r>
    <x v="0"/>
    <x v="0"/>
    <s v="NF"/>
    <x v="0"/>
    <n v="123"/>
    <d v="2016-12-05T00:00:00"/>
    <x v="0"/>
  </r>
  <r>
    <x v="1"/>
    <x v="1"/>
    <s v="Boleto"/>
    <x v="0"/>
    <n v="123"/>
    <d v="2016-12-06T00:00:00"/>
    <x v="0"/>
  </r>
  <r>
    <x v="2"/>
    <x v="0"/>
    <s v="Debito"/>
    <x v="1"/>
    <n v="123"/>
    <d v="2016-12-07T00:00:00"/>
    <x v="0"/>
  </r>
  <r>
    <x v="2"/>
    <x v="1"/>
    <s v="Boleto"/>
    <x v="0"/>
    <n v="49"/>
    <d v="2016-12-08T00:00:00"/>
    <x v="0"/>
  </r>
  <r>
    <x v="3"/>
    <x v="0"/>
    <s v="Boleto"/>
    <x v="0"/>
    <n v="18"/>
    <d v="2016-12-09T00:00:00"/>
    <x v="0"/>
  </r>
  <r>
    <x v="2"/>
    <x v="0"/>
    <s v="Debito"/>
    <x v="1"/>
    <n v="45245"/>
    <d v="2016-12-10T00:00:00"/>
    <x v="0"/>
  </r>
  <r>
    <x v="1"/>
    <x v="1"/>
    <s v="Boleto"/>
    <x v="0"/>
    <n v="2"/>
    <d v="2016-12-11T00:00:00"/>
    <x v="0"/>
  </r>
  <r>
    <x v="2"/>
    <x v="1"/>
    <s v="Boleto"/>
    <x v="0"/>
    <n v="24"/>
    <d v="2016-12-12T00:00:00"/>
    <x v="0"/>
  </r>
  <r>
    <x v="3"/>
    <x v="1"/>
    <s v="Boleto"/>
    <x v="0"/>
    <n v="254"/>
    <d v="2016-12-13T00:00:00"/>
    <x v="0"/>
  </r>
  <r>
    <x v="1"/>
    <x v="2"/>
    <s v="NF"/>
    <x v="1"/>
    <n v="2542"/>
    <d v="2016-12-14T00:00:00"/>
    <x v="0"/>
  </r>
  <r>
    <x v="1"/>
    <x v="0"/>
    <s v="NF"/>
    <x v="0"/>
    <n v="42"/>
    <d v="2016-12-15T00:00:00"/>
    <x v="0"/>
  </r>
  <r>
    <x v="1"/>
    <x v="1"/>
    <s v="Boleto"/>
    <x v="0"/>
    <n v="20000"/>
    <d v="2016-12-16T00:00:00"/>
    <x v="0"/>
  </r>
  <r>
    <x v="2"/>
    <x v="0"/>
    <s v="Debito"/>
    <x v="1"/>
    <n v="54"/>
    <d v="2016-12-17T00:00:00"/>
    <x v="0"/>
  </r>
  <r>
    <x v="1"/>
    <x v="2"/>
    <s v="NF"/>
    <x v="1"/>
    <n v="2542"/>
    <d v="2016-12-18T00:00:00"/>
    <x v="0"/>
  </r>
  <r>
    <x v="4"/>
    <x v="3"/>
    <s v="NF"/>
    <x v="1"/>
    <n v="2"/>
    <d v="2016-12-05T00:00:00"/>
    <x v="1"/>
  </r>
  <r>
    <x v="4"/>
    <x v="0"/>
    <s v="Boleto"/>
    <x v="0"/>
    <n v="452"/>
    <d v="2016-12-06T00:00:00"/>
    <x v="1"/>
  </r>
  <r>
    <x v="2"/>
    <x v="1"/>
    <s v="Boleto"/>
    <x v="0"/>
    <n v="542"/>
    <d v="2016-12-07T00:00:00"/>
    <x v="1"/>
  </r>
  <r>
    <x v="4"/>
    <x v="0"/>
    <s v="Boleto"/>
    <x v="0"/>
    <n v="452"/>
    <d v="2016-12-08T00:00:00"/>
    <x v="1"/>
  </r>
  <r>
    <x v="2"/>
    <x v="1"/>
    <s v="Boleto"/>
    <x v="0"/>
    <n v="475"/>
    <d v="2016-12-09T00:00:00"/>
    <x v="1"/>
  </r>
  <r>
    <x v="4"/>
    <x v="0"/>
    <s v="Boleto"/>
    <x v="0"/>
    <n v="748"/>
    <d v="2016-12-10T00:00:00"/>
    <x v="1"/>
  </r>
  <r>
    <x v="1"/>
    <x v="1"/>
    <s v="Boleto"/>
    <x v="0"/>
    <n v="54"/>
    <d v="2016-12-11T00:00:00"/>
    <x v="1"/>
  </r>
  <r>
    <x v="2"/>
    <x v="1"/>
    <s v="Boleto"/>
    <x v="0"/>
    <n v="51"/>
    <d v="2016-12-12T00:00:00"/>
    <x v="1"/>
  </r>
  <r>
    <x v="1"/>
    <x v="1"/>
    <s v="Boleto"/>
    <x v="0"/>
    <n v="516"/>
    <d v="2016-12-13T00:00:00"/>
    <x v="1"/>
  </r>
  <r>
    <x v="2"/>
    <x v="0"/>
    <s v="Debito"/>
    <x v="1"/>
    <n v="555"/>
    <d v="2016-12-14T00:00:00"/>
    <x v="1"/>
  </r>
  <r>
    <x v="2"/>
    <x v="1"/>
    <s v="Boleto"/>
    <x v="0"/>
    <n v="51"/>
    <d v="2016-12-15T00:00:00"/>
    <x v="1"/>
  </r>
  <r>
    <x v="3"/>
    <x v="1"/>
    <s v="Boleto"/>
    <x v="0"/>
    <n v="544"/>
    <d v="2016-12-16T00:00:00"/>
    <x v="1"/>
  </r>
  <r>
    <x v="2"/>
    <x v="1"/>
    <s v="Boleto"/>
    <x v="0"/>
    <n v="15"/>
    <d v="2016-12-17T00:00:00"/>
    <x v="1"/>
  </r>
  <r>
    <x v="2"/>
    <x v="1"/>
    <s v="Boleto"/>
    <x v="0"/>
    <n v="41"/>
    <d v="2016-12-18T00:00:00"/>
    <x v="1"/>
  </r>
  <r>
    <x v="5"/>
    <x v="0"/>
    <s v="Boleto"/>
    <x v="0"/>
    <n v="80000"/>
    <d v="2016-12-08T00:00:00"/>
    <x v="1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2"/>
    <m/>
    <m/>
    <x v="2"/>
  </r>
  <r>
    <x v="6"/>
    <x v="4"/>
    <s v=""/>
    <x v="3"/>
    <m/>
    <m/>
    <x v="2"/>
  </r>
  <r>
    <x v="6"/>
    <x v="4"/>
    <s v=""/>
    <x v="3"/>
    <m/>
    <m/>
    <x v="2"/>
  </r>
  <r>
    <x v="6"/>
    <x v="4"/>
    <s v=""/>
    <x v="3"/>
    <m/>
    <m/>
    <x v="2"/>
  </r>
  <r>
    <x v="6"/>
    <x v="4"/>
    <s v=""/>
    <x v="3"/>
    <m/>
    <m/>
    <x v="2"/>
  </r>
  <r>
    <x v="6"/>
    <x v="4"/>
    <s v=""/>
    <x v="3"/>
    <m/>
    <m/>
    <x v="2"/>
  </r>
  <r>
    <x v="6"/>
    <x v="4"/>
    <s v=""/>
    <x v="3"/>
    <m/>
    <m/>
    <x v="2"/>
  </r>
  <r>
    <x v="6"/>
    <x v="4"/>
    <s v=""/>
    <x v="3"/>
    <m/>
    <m/>
    <x v="2"/>
  </r>
  <r>
    <x v="6"/>
    <x v="4"/>
    <s v=""/>
    <x v="3"/>
    <m/>
    <m/>
    <x v="2"/>
  </r>
  <r>
    <x v="6"/>
    <x v="4"/>
    <s v=""/>
    <x v="3"/>
    <m/>
    <m/>
    <x v="2"/>
  </r>
  <r>
    <x v="6"/>
    <x v="4"/>
    <s v=""/>
    <x v="3"/>
    <m/>
    <m/>
    <x v="2"/>
  </r>
  <r>
    <x v="6"/>
    <x v="4"/>
    <m/>
    <x v="3"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9">
  <location ref="A3:D22" firstHeaderRow="1" firstDataRow="2" firstDataCol="1" rowPageCount="1" colPageCount="1"/>
  <pivotFields count="7">
    <pivotField axis="axisRow" showAll="0">
      <items count="8">
        <item x="0"/>
        <item x="1"/>
        <item x="2"/>
        <item x="3"/>
        <item x="4"/>
        <item h="1" x="6"/>
        <item x="5"/>
        <item t="default"/>
      </items>
    </pivotField>
    <pivotField axis="axisRow" showAll="0">
      <items count="6">
        <item x="3"/>
        <item x="0"/>
        <item x="1"/>
        <item x="2"/>
        <item x="4"/>
        <item t="default"/>
      </items>
    </pivotField>
    <pivotField showAll="0"/>
    <pivotField axis="axisPage" multipleItemSelectionAllowed="1" showAll="0">
      <items count="5">
        <item x="2"/>
        <item x="0"/>
        <item x="1"/>
        <item h="1" x="3"/>
        <item t="default"/>
      </items>
    </pivotField>
    <pivotField dataField="1" showAll="0"/>
    <pivotField showAll="0"/>
    <pivotField axis="axisCol" showAll="0">
      <items count="4">
        <item x="1"/>
        <item x="0"/>
        <item x="2"/>
        <item t="default"/>
      </items>
    </pivotField>
  </pivotFields>
  <rowFields count="2">
    <field x="0"/>
    <field x="1"/>
  </rowFields>
  <rowItems count="18">
    <i>
      <x/>
    </i>
    <i r="1">
      <x v="1"/>
    </i>
    <i>
      <x v="1"/>
    </i>
    <i r="1">
      <x v="1"/>
    </i>
    <i r="1">
      <x v="2"/>
    </i>
    <i r="1">
      <x v="3"/>
    </i>
    <i>
      <x v="2"/>
    </i>
    <i r="1">
      <x v="1"/>
    </i>
    <i r="1">
      <x v="2"/>
    </i>
    <i>
      <x v="3"/>
    </i>
    <i r="1">
      <x v="1"/>
    </i>
    <i r="1">
      <x v="2"/>
    </i>
    <i>
      <x v="4"/>
    </i>
    <i r="1">
      <x/>
    </i>
    <i r="1">
      <x v="1"/>
    </i>
    <i>
      <x v="6"/>
    </i>
    <i r="1">
      <x v="1"/>
    </i>
    <i t="grand">
      <x/>
    </i>
  </rowItems>
  <colFields count="1">
    <field x="6"/>
  </colFields>
  <colItems count="3">
    <i>
      <x/>
    </i>
    <i>
      <x v="1"/>
    </i>
    <i t="grand">
      <x/>
    </i>
  </colItems>
  <pageFields count="1">
    <pageField fld="3" hier="-1"/>
  </pageFields>
  <dataFields count="1">
    <dataField name="Soma de Valor" fld="4" baseField="0" baseItem="0"/>
  </dataFields>
  <chartFormats count="8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6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6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ela1" displayName="Tabela1" ref="B1:L61" totalsRowShown="0" headerRowDxfId="1">
  <autoFilter ref="B1:L61"/>
  <tableColumns count="11">
    <tableColumn id="1" name="Forn" dataDxfId="12"/>
    <tableColumn id="2" name="Serv" dataDxfId="11"/>
    <tableColumn id="9" name="Período" dataDxfId="10"/>
    <tableColumn id="3" name="Pag" dataDxfId="9">
      <calculatedColumnFormula>IFERROR(VLOOKUP(B2&amp;C2,'Banco de Dados'!$I$3:$L$1006,4,FALSE),"")</calculatedColumnFormula>
    </tableColumn>
    <tableColumn id="4" name="Tipo" dataDxfId="8">
      <calculatedColumnFormula>IFERROR(VLOOKUP(B2&amp;C2,'Banco de Dados'!$I$3:$L$1006,3,FALSE),"")</calculatedColumnFormula>
    </tableColumn>
    <tableColumn id="5" name="Valor" dataDxfId="7"/>
    <tableColumn id="6" name="Vencimento" dataDxfId="6"/>
    <tableColumn id="7" name="Mes" dataDxfId="5"/>
    <tableColumn id="8" name="Pagamento" dataDxfId="4"/>
    <tableColumn id="10" name="NF" dataDxfId="3"/>
    <tableColumn id="11" name="Pedido" dataDxfId="2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A1:A61" totalsRowShown="0">
  <autoFilter ref="A1:A61"/>
  <tableColumns count="1">
    <tableColumn id="1" name="Índice" dataDxfId="0">
      <calculatedColumnFormula>IF(I2="","",IF(I2=I1,A1+1,1))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2.xml"/><Relationship Id="rId33" Type="http://schemas.openxmlformats.org/officeDocument/2006/relationships/table" Target="../tables/table2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trlProp" Target="../ctrlProps/ctrlProp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1.xml"/><Relationship Id="rId32" Type="http://schemas.openxmlformats.org/officeDocument/2006/relationships/table" Target="../tables/table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5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ctrlProp" Target="../ctrlProps/ctrlProp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4.xml"/><Relationship Id="rId30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22"/>
  <sheetViews>
    <sheetView zoomScaleNormal="100" workbookViewId="0">
      <selection activeCell="I25" sqref="I25"/>
    </sheetView>
  </sheetViews>
  <sheetFormatPr defaultRowHeight="15" x14ac:dyDescent="0.25"/>
  <cols>
    <col min="1" max="1" width="18" customWidth="1"/>
    <col min="2" max="2" width="19.5703125" customWidth="1"/>
    <col min="3" max="3" width="7.42578125" bestFit="1" customWidth="1"/>
    <col min="4" max="4" width="10.7109375" bestFit="1" customWidth="1"/>
  </cols>
  <sheetData>
    <row r="1" spans="1:4" x14ac:dyDescent="0.25">
      <c r="A1" s="1" t="s">
        <v>8</v>
      </c>
      <c r="B1" t="s">
        <v>33</v>
      </c>
    </row>
    <row r="3" spans="1:4" x14ac:dyDescent="0.25">
      <c r="A3" s="1" t="s">
        <v>32</v>
      </c>
      <c r="B3" s="1" t="s">
        <v>3</v>
      </c>
    </row>
    <row r="4" spans="1:4" x14ac:dyDescent="0.25">
      <c r="A4" s="1" t="s">
        <v>1</v>
      </c>
      <c r="B4" t="s">
        <v>14</v>
      </c>
      <c r="C4" t="s">
        <v>13</v>
      </c>
      <c r="D4" t="s">
        <v>2</v>
      </c>
    </row>
    <row r="5" spans="1:4" x14ac:dyDescent="0.25">
      <c r="A5" s="2" t="s">
        <v>17</v>
      </c>
      <c r="B5" s="4"/>
      <c r="C5" s="4">
        <v>123</v>
      </c>
      <c r="D5" s="4">
        <v>123</v>
      </c>
    </row>
    <row r="6" spans="1:4" x14ac:dyDescent="0.25">
      <c r="A6" s="3" t="s">
        <v>22</v>
      </c>
      <c r="B6" s="4"/>
      <c r="C6" s="4">
        <v>123</v>
      </c>
      <c r="D6" s="4">
        <v>123</v>
      </c>
    </row>
    <row r="7" spans="1:4" x14ac:dyDescent="0.25">
      <c r="A7" s="2" t="s">
        <v>18</v>
      </c>
      <c r="B7" s="4">
        <v>570</v>
      </c>
      <c r="C7" s="4">
        <v>25251</v>
      </c>
      <c r="D7" s="4">
        <v>25821</v>
      </c>
    </row>
    <row r="8" spans="1:4" x14ac:dyDescent="0.25">
      <c r="A8" s="3" t="s">
        <v>22</v>
      </c>
      <c r="B8" s="4"/>
      <c r="C8" s="4">
        <v>42</v>
      </c>
      <c r="D8" s="4">
        <v>42</v>
      </c>
    </row>
    <row r="9" spans="1:4" x14ac:dyDescent="0.25">
      <c r="A9" s="3" t="s">
        <v>23</v>
      </c>
      <c r="B9" s="4">
        <v>570</v>
      </c>
      <c r="C9" s="4">
        <v>20125</v>
      </c>
      <c r="D9" s="4">
        <v>20695</v>
      </c>
    </row>
    <row r="10" spans="1:4" x14ac:dyDescent="0.25">
      <c r="A10" s="3" t="s">
        <v>24</v>
      </c>
      <c r="B10" s="4"/>
      <c r="C10" s="4">
        <v>5084</v>
      </c>
      <c r="D10" s="4">
        <v>5084</v>
      </c>
    </row>
    <row r="11" spans="1:4" x14ac:dyDescent="0.25">
      <c r="A11" s="2" t="s">
        <v>19</v>
      </c>
      <c r="B11" s="4">
        <v>1730</v>
      </c>
      <c r="C11" s="4">
        <v>45495</v>
      </c>
      <c r="D11" s="4">
        <v>47225</v>
      </c>
    </row>
    <row r="12" spans="1:4" x14ac:dyDescent="0.25">
      <c r="A12" s="3" t="s">
        <v>22</v>
      </c>
      <c r="B12" s="4">
        <v>555</v>
      </c>
      <c r="C12" s="4">
        <v>45422</v>
      </c>
      <c r="D12" s="4">
        <v>45977</v>
      </c>
    </row>
    <row r="13" spans="1:4" x14ac:dyDescent="0.25">
      <c r="A13" s="3" t="s">
        <v>23</v>
      </c>
      <c r="B13" s="4">
        <v>1175</v>
      </c>
      <c r="C13" s="4">
        <v>73</v>
      </c>
      <c r="D13" s="4">
        <v>1248</v>
      </c>
    </row>
    <row r="14" spans="1:4" x14ac:dyDescent="0.25">
      <c r="A14" s="2" t="s">
        <v>20</v>
      </c>
      <c r="B14" s="4">
        <v>544</v>
      </c>
      <c r="C14" s="4">
        <v>272</v>
      </c>
      <c r="D14" s="4">
        <v>816</v>
      </c>
    </row>
    <row r="15" spans="1:4" x14ac:dyDescent="0.25">
      <c r="A15" s="3" t="s">
        <v>22</v>
      </c>
      <c r="B15" s="4"/>
      <c r="C15" s="4">
        <v>18</v>
      </c>
      <c r="D15" s="4">
        <v>18</v>
      </c>
    </row>
    <row r="16" spans="1:4" x14ac:dyDescent="0.25">
      <c r="A16" s="3" t="s">
        <v>23</v>
      </c>
      <c r="B16" s="4">
        <v>544</v>
      </c>
      <c r="C16" s="4">
        <v>254</v>
      </c>
      <c r="D16" s="4">
        <v>798</v>
      </c>
    </row>
    <row r="17" spans="1:4" x14ac:dyDescent="0.25">
      <c r="A17" s="2" t="s">
        <v>31</v>
      </c>
      <c r="B17" s="4">
        <v>1654</v>
      </c>
      <c r="C17" s="4"/>
      <c r="D17" s="4">
        <v>1654</v>
      </c>
    </row>
    <row r="18" spans="1:4" x14ac:dyDescent="0.25">
      <c r="A18" s="3" t="s">
        <v>21</v>
      </c>
      <c r="B18" s="4">
        <v>2</v>
      </c>
      <c r="C18" s="4"/>
      <c r="D18" s="4">
        <v>2</v>
      </c>
    </row>
    <row r="19" spans="1:4" x14ac:dyDescent="0.25">
      <c r="A19" s="3" t="s">
        <v>22</v>
      </c>
      <c r="B19" s="4">
        <v>1652</v>
      </c>
      <c r="C19" s="4"/>
      <c r="D19" s="4">
        <v>1652</v>
      </c>
    </row>
    <row r="20" spans="1:4" x14ac:dyDescent="0.25">
      <c r="A20" s="2" t="s">
        <v>34</v>
      </c>
      <c r="B20" s="4">
        <v>80000</v>
      </c>
      <c r="C20" s="4"/>
      <c r="D20" s="4">
        <v>80000</v>
      </c>
    </row>
    <row r="21" spans="1:4" x14ac:dyDescent="0.25">
      <c r="A21" s="3" t="s">
        <v>22</v>
      </c>
      <c r="B21" s="4">
        <v>80000</v>
      </c>
      <c r="C21" s="4"/>
      <c r="D21" s="4">
        <v>80000</v>
      </c>
    </row>
    <row r="22" spans="1:4" x14ac:dyDescent="0.25">
      <c r="A22" s="2" t="s">
        <v>2</v>
      </c>
      <c r="B22" s="4">
        <v>84498</v>
      </c>
      <c r="C22" s="4">
        <v>71141</v>
      </c>
      <c r="D22" s="4">
        <v>155639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workbookViewId="0">
      <selection activeCell="T28" sqref="T28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A1:AK524"/>
  <sheetViews>
    <sheetView showGridLines="0" tabSelected="1" topLeftCell="K1" zoomScale="80" zoomScaleNormal="80" workbookViewId="0">
      <selection activeCell="Z39" sqref="Z39"/>
    </sheetView>
  </sheetViews>
  <sheetFormatPr defaultRowHeight="15" x14ac:dyDescent="0.25"/>
  <cols>
    <col min="1" max="1" width="9.28515625" style="11" customWidth="1"/>
    <col min="2" max="2" width="17.5703125" style="11" customWidth="1"/>
    <col min="3" max="4" width="15.7109375" style="11" customWidth="1"/>
    <col min="5" max="5" width="15.28515625" style="11" customWidth="1"/>
    <col min="6" max="6" width="16.85546875" style="11" customWidth="1"/>
    <col min="7" max="7" width="11.7109375" style="11" customWidth="1"/>
    <col min="8" max="8" width="14" style="12" customWidth="1"/>
    <col min="9" max="9" width="17.7109375" style="11" customWidth="1"/>
    <col min="10" max="10" width="13.28515625" style="11" bestFit="1" customWidth="1"/>
    <col min="11" max="11" width="9.140625" style="11" customWidth="1"/>
    <col min="12" max="12" width="9.7109375" style="11" bestFit="1" customWidth="1"/>
    <col min="13" max="13" width="9.7109375" style="5" customWidth="1"/>
    <col min="14" max="14" width="8.28515625" customWidth="1"/>
    <col min="15" max="15" width="9.5703125" customWidth="1"/>
    <col min="28" max="28" width="0" hidden="1" customWidth="1"/>
  </cols>
  <sheetData>
    <row r="1" spans="1:37" x14ac:dyDescent="0.25">
      <c r="A1" s="11" t="s">
        <v>35</v>
      </c>
      <c r="B1" s="11" t="s">
        <v>5</v>
      </c>
      <c r="C1" s="11" t="s">
        <v>6</v>
      </c>
      <c r="D1" s="11" t="s">
        <v>40</v>
      </c>
      <c r="E1" s="11" t="s">
        <v>7</v>
      </c>
      <c r="F1" s="11" t="s">
        <v>8</v>
      </c>
      <c r="G1" s="11" t="s">
        <v>10</v>
      </c>
      <c r="H1" s="11" t="s">
        <v>11</v>
      </c>
      <c r="I1" s="11" t="s">
        <v>12</v>
      </c>
      <c r="J1" s="11" t="s">
        <v>36</v>
      </c>
      <c r="K1" s="11" t="s">
        <v>28</v>
      </c>
      <c r="L1" s="57" t="s">
        <v>85</v>
      </c>
      <c r="M1" s="8"/>
      <c r="N1" s="33"/>
      <c r="O1" s="56" t="s">
        <v>49</v>
      </c>
      <c r="P1" s="56"/>
      <c r="Q1" s="34"/>
      <c r="R1" s="34"/>
      <c r="S1" s="34"/>
      <c r="T1" s="35"/>
      <c r="U1" s="5"/>
      <c r="V1" s="50"/>
      <c r="W1" s="42" t="s">
        <v>51</v>
      </c>
      <c r="X1" s="42"/>
      <c r="Y1" s="42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5"/>
    </row>
    <row r="2" spans="1:37" x14ac:dyDescent="0.25">
      <c r="A2" s="10">
        <f>IF(I2="","",IF(I2=I1,A1+1,1))</f>
        <v>1</v>
      </c>
      <c r="B2" s="10" t="s">
        <v>17</v>
      </c>
      <c r="C2" s="10" t="s">
        <v>22</v>
      </c>
      <c r="D2" s="10"/>
      <c r="E2" s="10" t="str">
        <f>IFERROR(VLOOKUP(B2&amp;C2,'Banco de Dados'!$I$3:$L$1006,4,FALSE),"")</f>
        <v>NF</v>
      </c>
      <c r="F2" s="10" t="str">
        <f>IFERROR(VLOOKUP(B2&amp;C2,'Banco de Dados'!$I$3:$L$1006,3,FALSE),"")</f>
        <v>Fixo</v>
      </c>
      <c r="G2" s="10">
        <v>123</v>
      </c>
      <c r="H2" s="16">
        <v>42448</v>
      </c>
      <c r="I2" s="10" t="s">
        <v>13</v>
      </c>
      <c r="J2" s="10" t="s">
        <v>37</v>
      </c>
      <c r="L2" s="52"/>
      <c r="N2" s="36"/>
      <c r="O2" s="6"/>
      <c r="P2" s="5"/>
      <c r="Q2" s="5"/>
      <c r="R2" s="5"/>
      <c r="S2" s="5"/>
      <c r="T2" s="37"/>
      <c r="U2" s="5"/>
      <c r="V2" s="43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37"/>
    </row>
    <row r="3" spans="1:37" x14ac:dyDescent="0.25">
      <c r="A3" s="10">
        <f t="shared" ref="A3:A61" si="0">IF(I3="","",IF(I3=I2,A2+1,1))</f>
        <v>2</v>
      </c>
      <c r="B3" s="10" t="s">
        <v>18</v>
      </c>
      <c r="C3" s="10" t="s">
        <v>23</v>
      </c>
      <c r="D3" s="10"/>
      <c r="E3" s="10" t="str">
        <f>IFERROR(VLOOKUP(B3&amp;C3,'Banco de Dados'!$I$3:$L$1006,4,FALSE),"")</f>
        <v>Boleto</v>
      </c>
      <c r="F3" s="10" t="str">
        <f>IFERROR(VLOOKUP(B3&amp;C3,'Banco de Dados'!$I$3:$L$1006,3,FALSE),"")</f>
        <v>Fixo</v>
      </c>
      <c r="G3" s="10">
        <v>123</v>
      </c>
      <c r="H3" s="16">
        <v>42710</v>
      </c>
      <c r="I3" s="10" t="s">
        <v>13</v>
      </c>
      <c r="J3" s="10" t="s">
        <v>37</v>
      </c>
      <c r="L3" s="52"/>
      <c r="N3" s="54" t="s">
        <v>35</v>
      </c>
      <c r="O3" s="55"/>
      <c r="P3" s="5" t="s">
        <v>41</v>
      </c>
      <c r="Q3" s="5"/>
      <c r="R3" s="5"/>
      <c r="S3" s="5"/>
      <c r="T3" s="37"/>
      <c r="U3" s="5"/>
      <c r="V3" s="43"/>
      <c r="W3" s="5" t="s">
        <v>50</v>
      </c>
      <c r="X3" s="5"/>
      <c r="Y3" s="5"/>
      <c r="Z3" s="5"/>
      <c r="AA3" s="5"/>
      <c r="AB3" s="5"/>
      <c r="AC3" s="5"/>
      <c r="AD3" s="5" t="s">
        <v>83</v>
      </c>
      <c r="AE3" s="5"/>
      <c r="AF3" s="5"/>
      <c r="AG3" s="5"/>
      <c r="AH3" s="5"/>
      <c r="AI3" s="5"/>
      <c r="AJ3" s="5"/>
      <c r="AK3" s="37"/>
    </row>
    <row r="4" spans="1:37" x14ac:dyDescent="0.25">
      <c r="A4" s="10">
        <f t="shared" si="0"/>
        <v>3</v>
      </c>
      <c r="B4" s="10" t="s">
        <v>19</v>
      </c>
      <c r="C4" s="10" t="s">
        <v>22</v>
      </c>
      <c r="D4" s="10"/>
      <c r="E4" s="10" t="str">
        <f>IFERROR(VLOOKUP(B4&amp;C4,'Banco de Dados'!$I$3:$L$1006,4,FALSE),"")</f>
        <v>Debito</v>
      </c>
      <c r="F4" s="10" t="str">
        <f>IFERROR(VLOOKUP(B4&amp;C4,'Banco de Dados'!$I$3:$L$1006,3,FALSE),"")</f>
        <v>Variavel</v>
      </c>
      <c r="G4" s="10">
        <v>123</v>
      </c>
      <c r="H4" s="16">
        <v>42711</v>
      </c>
      <c r="I4" s="10" t="s">
        <v>13</v>
      </c>
      <c r="J4" s="10" t="s">
        <v>37</v>
      </c>
      <c r="L4" s="52"/>
      <c r="N4" s="36"/>
      <c r="O4" s="6"/>
      <c r="P4" s="5"/>
      <c r="Q4" s="5"/>
      <c r="R4" s="5"/>
      <c r="S4" s="5"/>
      <c r="T4" s="37"/>
      <c r="U4" s="5"/>
      <c r="V4" s="43"/>
      <c r="W4" s="5"/>
      <c r="X4" s="5"/>
      <c r="Y4" s="5"/>
      <c r="Z4" s="5"/>
      <c r="AA4" s="5"/>
      <c r="AB4" s="5"/>
      <c r="AC4" s="5">
        <v>1</v>
      </c>
      <c r="AD4" s="5"/>
      <c r="AE4" s="5"/>
      <c r="AF4" s="5"/>
      <c r="AG4" s="5"/>
      <c r="AH4" s="5"/>
      <c r="AI4" s="5"/>
      <c r="AJ4" s="5"/>
      <c r="AK4" s="37"/>
    </row>
    <row r="5" spans="1:37" x14ac:dyDescent="0.25">
      <c r="A5" s="10">
        <f t="shared" si="0"/>
        <v>4</v>
      </c>
      <c r="B5" s="10" t="s">
        <v>19</v>
      </c>
      <c r="C5" s="10" t="s">
        <v>23</v>
      </c>
      <c r="D5" s="10"/>
      <c r="E5" s="10" t="str">
        <f>IFERROR(VLOOKUP(B5&amp;C5,'Banco de Dados'!$I$3:$L$1006,4,FALSE),"")</f>
        <v>Boleto</v>
      </c>
      <c r="F5" s="10" t="str">
        <f>IFERROR(VLOOKUP(B5&amp;C5,'Banco de Dados'!$I$3:$L$1006,3,FALSE),"")</f>
        <v>Fixo</v>
      </c>
      <c r="G5" s="10">
        <v>49</v>
      </c>
      <c r="H5" s="16">
        <v>42448</v>
      </c>
      <c r="I5" s="10" t="s">
        <v>13</v>
      </c>
      <c r="J5" s="10" t="s">
        <v>37</v>
      </c>
      <c r="L5" s="52"/>
      <c r="N5" s="36"/>
      <c r="O5" s="6"/>
      <c r="P5" s="5"/>
      <c r="Q5" s="5"/>
      <c r="R5" s="5"/>
      <c r="S5" s="5"/>
      <c r="T5" s="37"/>
      <c r="U5" s="5"/>
      <c r="V5" s="43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37"/>
    </row>
    <row r="6" spans="1:37" x14ac:dyDescent="0.25">
      <c r="A6" s="10">
        <f t="shared" si="0"/>
        <v>5</v>
      </c>
      <c r="B6" s="10" t="s">
        <v>20</v>
      </c>
      <c r="C6" s="10" t="s">
        <v>22</v>
      </c>
      <c r="D6" s="10"/>
      <c r="E6" s="10" t="str">
        <f>IFERROR(VLOOKUP(B6&amp;C6,'Banco de Dados'!$I$3:$L$1006,4,FALSE),"")</f>
        <v>Boleto</v>
      </c>
      <c r="F6" s="10" t="str">
        <f>IFERROR(VLOOKUP(B6&amp;C6,'Banco de Dados'!$I$3:$L$1006,3,FALSE),"")</f>
        <v>Fixo</v>
      </c>
      <c r="G6" s="10">
        <v>18</v>
      </c>
      <c r="H6" s="16">
        <v>42448</v>
      </c>
      <c r="I6" s="10" t="s">
        <v>13</v>
      </c>
      <c r="J6" s="10" t="s">
        <v>37</v>
      </c>
      <c r="L6" s="52"/>
      <c r="N6" s="36"/>
      <c r="O6" s="6"/>
      <c r="P6" s="5"/>
      <c r="Q6" s="5"/>
      <c r="R6" s="5"/>
      <c r="S6" s="5"/>
      <c r="T6" s="37"/>
      <c r="U6" s="5"/>
      <c r="V6" s="43"/>
      <c r="W6" s="5" t="s">
        <v>79</v>
      </c>
      <c r="X6" s="5"/>
      <c r="Y6" s="5"/>
      <c r="Z6" s="5"/>
      <c r="AA6" s="5"/>
      <c r="AB6" s="5" t="s">
        <v>92</v>
      </c>
      <c r="AC6" s="5"/>
      <c r="AD6" s="45" t="s">
        <v>93</v>
      </c>
      <c r="AE6" s="45"/>
      <c r="AF6" s="45"/>
      <c r="AG6" s="45"/>
      <c r="AH6" s="5"/>
      <c r="AI6" s="5"/>
      <c r="AJ6" s="5"/>
      <c r="AK6" s="37"/>
    </row>
    <row r="7" spans="1:37" x14ac:dyDescent="0.25">
      <c r="A7" s="11">
        <f t="shared" si="0"/>
        <v>6</v>
      </c>
      <c r="B7" s="11" t="s">
        <v>19</v>
      </c>
      <c r="C7" s="11" t="s">
        <v>22</v>
      </c>
      <c r="E7" s="11" t="str">
        <f>IFERROR(VLOOKUP(B7&amp;C7,'Banco de Dados'!$I$3:$L$1006,4,FALSE),"")</f>
        <v>Debito</v>
      </c>
      <c r="F7" s="11" t="str">
        <f>IFERROR(VLOOKUP(B7&amp;C7,'Banco de Dados'!$I$3:$L$1006,3,FALSE),"")</f>
        <v>Variavel</v>
      </c>
      <c r="G7" s="11">
        <v>45245</v>
      </c>
      <c r="H7" s="17">
        <v>42714</v>
      </c>
      <c r="I7" s="13" t="s">
        <v>13</v>
      </c>
      <c r="J7" s="11" t="s">
        <v>39</v>
      </c>
      <c r="L7" s="52"/>
      <c r="N7" s="36"/>
      <c r="O7" s="6"/>
      <c r="P7" s="5"/>
      <c r="Q7" s="5"/>
      <c r="R7" s="5"/>
      <c r="S7" s="5"/>
      <c r="T7" s="37"/>
      <c r="U7" s="5"/>
      <c r="V7" s="43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37"/>
    </row>
    <row r="8" spans="1:37" x14ac:dyDescent="0.25">
      <c r="A8" s="11">
        <f t="shared" si="0"/>
        <v>7</v>
      </c>
      <c r="B8" s="11" t="s">
        <v>18</v>
      </c>
      <c r="C8" s="11" t="s">
        <v>23</v>
      </c>
      <c r="E8" s="11" t="str">
        <f>IFERROR(VLOOKUP(B8&amp;C8,'Banco de Dados'!$I$3:$L$1006,4,FALSE),"")</f>
        <v>Boleto</v>
      </c>
      <c r="F8" s="11" t="str">
        <f>IFERROR(VLOOKUP(B8&amp;C8,'Banco de Dados'!$I$3:$L$1006,3,FALSE),"")</f>
        <v>Fixo</v>
      </c>
      <c r="G8" s="11">
        <v>2</v>
      </c>
      <c r="H8" s="17">
        <v>42715</v>
      </c>
      <c r="I8" s="13" t="s">
        <v>13</v>
      </c>
      <c r="J8" s="11" t="s">
        <v>39</v>
      </c>
      <c r="L8" s="52"/>
      <c r="N8" s="36"/>
      <c r="O8" s="6"/>
      <c r="P8" s="5"/>
      <c r="Q8" s="5"/>
      <c r="R8" s="5"/>
      <c r="S8" s="5"/>
      <c r="T8" s="37"/>
      <c r="U8" s="5"/>
      <c r="V8" s="43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37"/>
    </row>
    <row r="9" spans="1:37" x14ac:dyDescent="0.25">
      <c r="A9" s="11">
        <f t="shared" si="0"/>
        <v>8</v>
      </c>
      <c r="B9" s="11" t="s">
        <v>19</v>
      </c>
      <c r="C9" s="11" t="s">
        <v>23</v>
      </c>
      <c r="E9" s="11" t="str">
        <f>IFERROR(VLOOKUP(B9&amp;C9,'Banco de Dados'!$I$3:$L$1006,4,FALSE),"")</f>
        <v>Boleto</v>
      </c>
      <c r="F9" s="11" t="str">
        <f>IFERROR(VLOOKUP(B9&amp;C9,'Banco de Dados'!$I$3:$L$1006,3,FALSE),"")</f>
        <v>Fixo</v>
      </c>
      <c r="G9" s="11">
        <v>24</v>
      </c>
      <c r="H9" s="17">
        <v>42716</v>
      </c>
      <c r="I9" s="13" t="s">
        <v>13</v>
      </c>
      <c r="J9" s="11" t="s">
        <v>39</v>
      </c>
      <c r="L9" s="52"/>
      <c r="N9" s="36"/>
      <c r="O9" s="6"/>
      <c r="P9" s="5"/>
      <c r="Q9" s="5"/>
      <c r="R9" s="5"/>
      <c r="S9" s="5"/>
      <c r="T9" s="37"/>
      <c r="U9" s="5"/>
      <c r="V9" s="43"/>
      <c r="W9" s="5" t="s">
        <v>87</v>
      </c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37"/>
    </row>
    <row r="10" spans="1:37" x14ac:dyDescent="0.25">
      <c r="A10" s="10">
        <f t="shared" si="0"/>
        <v>9</v>
      </c>
      <c r="B10" s="10" t="s">
        <v>20</v>
      </c>
      <c r="C10" s="10" t="s">
        <v>23</v>
      </c>
      <c r="D10" s="10"/>
      <c r="E10" s="10" t="str">
        <f>IFERROR(VLOOKUP(B10&amp;C10,'Banco de Dados'!$I$3:$L$1006,4,FALSE),"")</f>
        <v>Boleto</v>
      </c>
      <c r="F10" s="10" t="str">
        <f>IFERROR(VLOOKUP(B10&amp;C10,'Banco de Dados'!$I$3:$L$1006,3,FALSE),"")</f>
        <v>Fixo</v>
      </c>
      <c r="G10" s="10">
        <v>254</v>
      </c>
      <c r="H10" s="16">
        <v>42448</v>
      </c>
      <c r="I10" s="10" t="s">
        <v>13</v>
      </c>
      <c r="J10" s="10" t="s">
        <v>37</v>
      </c>
      <c r="L10" s="52"/>
      <c r="N10" s="36"/>
      <c r="O10" s="6"/>
      <c r="P10" s="5"/>
      <c r="Q10" s="5"/>
      <c r="R10" s="5"/>
      <c r="S10" s="5"/>
      <c r="T10" s="37"/>
      <c r="U10" s="5"/>
      <c r="V10" s="43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37"/>
    </row>
    <row r="11" spans="1:37" x14ac:dyDescent="0.25">
      <c r="A11" s="10">
        <f t="shared" si="0"/>
        <v>10</v>
      </c>
      <c r="B11" s="10" t="s">
        <v>18</v>
      </c>
      <c r="C11" s="10" t="s">
        <v>24</v>
      </c>
      <c r="D11" s="10"/>
      <c r="E11" s="10" t="str">
        <f>IFERROR(VLOOKUP(B11&amp;C11,'Banco de Dados'!$I$3:$L$1006,4,FALSE),"")</f>
        <v>NF</v>
      </c>
      <c r="F11" s="10" t="str">
        <f>IFERROR(VLOOKUP(B11&amp;C11,'Banco de Dados'!$I$3:$L$1006,3,FALSE),"")</f>
        <v>Variavel</v>
      </c>
      <c r="G11" s="10">
        <v>2542</v>
      </c>
      <c r="H11" s="16">
        <v>42449</v>
      </c>
      <c r="I11" s="10" t="s">
        <v>13</v>
      </c>
      <c r="J11" s="10" t="s">
        <v>37</v>
      </c>
      <c r="L11" s="52"/>
      <c r="N11" s="36"/>
      <c r="O11" s="6"/>
      <c r="P11" s="5"/>
      <c r="Q11" s="5"/>
      <c r="R11" s="5"/>
      <c r="S11" s="5"/>
      <c r="T11" s="37"/>
      <c r="U11" s="5"/>
      <c r="V11" s="43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37"/>
    </row>
    <row r="12" spans="1:37" x14ac:dyDescent="0.25">
      <c r="A12" s="11">
        <f t="shared" si="0"/>
        <v>11</v>
      </c>
      <c r="B12" s="11" t="s">
        <v>18</v>
      </c>
      <c r="C12" s="11" t="s">
        <v>22</v>
      </c>
      <c r="E12" s="11" t="str">
        <f>IFERROR(VLOOKUP(B12&amp;C12,'Banco de Dados'!$I$3:$L$1006,4,FALSE),"")</f>
        <v>NF</v>
      </c>
      <c r="F12" s="11" t="str">
        <f>IFERROR(VLOOKUP(B12&amp;C12,'Banco de Dados'!$I$3:$L$1006,3,FALSE),"")</f>
        <v>Fixo</v>
      </c>
      <c r="G12" s="11">
        <v>42</v>
      </c>
      <c r="H12" s="17">
        <v>42719</v>
      </c>
      <c r="I12" s="13" t="s">
        <v>13</v>
      </c>
      <c r="J12" s="11" t="s">
        <v>39</v>
      </c>
      <c r="L12" s="52"/>
      <c r="N12" s="36"/>
      <c r="O12" s="6"/>
      <c r="P12" s="5"/>
      <c r="Q12" s="5"/>
      <c r="R12" s="5"/>
      <c r="S12" s="5"/>
      <c r="T12" s="37"/>
      <c r="U12" s="5"/>
      <c r="V12" s="43"/>
      <c r="W12" s="5" t="s">
        <v>82</v>
      </c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37"/>
    </row>
    <row r="13" spans="1:37" x14ac:dyDescent="0.25">
      <c r="A13" s="10">
        <f t="shared" si="0"/>
        <v>12</v>
      </c>
      <c r="B13" s="10" t="s">
        <v>18</v>
      </c>
      <c r="C13" s="10" t="s">
        <v>23</v>
      </c>
      <c r="D13" s="10"/>
      <c r="E13" s="10" t="str">
        <f>IFERROR(VLOOKUP(B13&amp;C13,'Banco de Dados'!$I$3:$L$1006,4,FALSE),"")</f>
        <v>Boleto</v>
      </c>
      <c r="F13" s="10" t="str">
        <f>IFERROR(VLOOKUP(B13&amp;C13,'Banco de Dados'!$I$3:$L$1006,3,FALSE),"")</f>
        <v>Fixo</v>
      </c>
      <c r="G13" s="10">
        <v>20000</v>
      </c>
      <c r="H13" s="16">
        <v>42448</v>
      </c>
      <c r="I13" s="10" t="s">
        <v>13</v>
      </c>
      <c r="J13" s="10" t="s">
        <v>37</v>
      </c>
      <c r="L13" s="52"/>
      <c r="N13" s="36"/>
      <c r="O13" s="6"/>
      <c r="P13" s="5"/>
      <c r="Q13" s="5"/>
      <c r="R13" s="5"/>
      <c r="S13" s="5"/>
      <c r="T13" s="37"/>
      <c r="U13" s="5"/>
      <c r="V13" s="43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37"/>
    </row>
    <row r="14" spans="1:37" x14ac:dyDescent="0.25">
      <c r="A14" s="11">
        <f t="shared" si="0"/>
        <v>13</v>
      </c>
      <c r="B14" s="11" t="s">
        <v>19</v>
      </c>
      <c r="C14" s="11" t="s">
        <v>22</v>
      </c>
      <c r="E14" s="11" t="str">
        <f>IFERROR(VLOOKUP(B14&amp;C14,'Banco de Dados'!$I$3:$L$1006,4,FALSE),"")</f>
        <v>Debito</v>
      </c>
      <c r="F14" s="11" t="str">
        <f>IFERROR(VLOOKUP(B14&amp;C14,'Banco de Dados'!$I$3:$L$1006,3,FALSE),"")</f>
        <v>Variavel</v>
      </c>
      <c r="G14" s="11">
        <v>54</v>
      </c>
      <c r="H14" s="17">
        <v>42721</v>
      </c>
      <c r="I14" s="13" t="s">
        <v>13</v>
      </c>
      <c r="J14" s="11" t="s">
        <v>39</v>
      </c>
      <c r="L14" s="52"/>
      <c r="N14" s="58"/>
      <c r="O14" s="6"/>
      <c r="P14" s="5"/>
      <c r="Q14" s="5"/>
      <c r="R14" s="5"/>
      <c r="S14" s="5"/>
      <c r="T14" s="37"/>
      <c r="U14" s="5"/>
      <c r="V14" s="43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37"/>
    </row>
    <row r="15" spans="1:37" x14ac:dyDescent="0.25">
      <c r="A15" s="11">
        <f t="shared" si="0"/>
        <v>14</v>
      </c>
      <c r="B15" s="11" t="s">
        <v>18</v>
      </c>
      <c r="C15" s="11" t="s">
        <v>22</v>
      </c>
      <c r="E15" s="11" t="str">
        <f>IFERROR(VLOOKUP(B15&amp;C15,'Banco de Dados'!$I$3:$L$1006,4,FALSE),"")</f>
        <v>NF</v>
      </c>
      <c r="F15" s="11" t="str">
        <f>IFERROR(VLOOKUP(B15&amp;C15,'Banco de Dados'!$I$3:$L$1006,3,FALSE),"")</f>
        <v>Fixo</v>
      </c>
      <c r="G15" s="11">
        <v>2542</v>
      </c>
      <c r="H15" s="17">
        <v>42722</v>
      </c>
      <c r="I15" s="13" t="s">
        <v>13</v>
      </c>
      <c r="J15" s="11" t="s">
        <v>39</v>
      </c>
      <c r="N15" s="47"/>
      <c r="O15" s="38"/>
      <c r="P15" s="38"/>
      <c r="Q15" s="38"/>
      <c r="R15" s="39"/>
      <c r="S15" s="39"/>
      <c r="T15" s="40"/>
      <c r="U15" s="5"/>
      <c r="V15" s="47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40"/>
    </row>
    <row r="16" spans="1:37" x14ac:dyDescent="0.25">
      <c r="A16" s="11">
        <f t="shared" si="0"/>
        <v>1</v>
      </c>
      <c r="B16" s="11" t="s">
        <v>31</v>
      </c>
      <c r="C16" s="11" t="s">
        <v>21</v>
      </c>
      <c r="E16" s="11" t="str">
        <f>IFERROR(VLOOKUP(B16&amp;C16,'Banco de Dados'!$I$3:$L$1006,4,FALSE),"")</f>
        <v>NF</v>
      </c>
      <c r="F16" s="11" t="str">
        <f>IFERROR(VLOOKUP(B16&amp;C16,'Banco de Dados'!$I$3:$L$1006,3,FALSE),"")</f>
        <v>Variavel</v>
      </c>
      <c r="G16" s="11">
        <v>2</v>
      </c>
      <c r="H16" s="17">
        <v>42709</v>
      </c>
      <c r="I16" s="13" t="s">
        <v>14</v>
      </c>
      <c r="J16" s="11" t="s">
        <v>39</v>
      </c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spans="1:29" x14ac:dyDescent="0.25">
      <c r="A17" s="11">
        <f t="shared" si="0"/>
        <v>2</v>
      </c>
      <c r="B17" s="11" t="s">
        <v>31</v>
      </c>
      <c r="C17" s="11" t="s">
        <v>22</v>
      </c>
      <c r="E17" s="11" t="str">
        <f>IFERROR(VLOOKUP(B17&amp;C17,'Banco de Dados'!$I$3:$L$1006,4,FALSE),"")</f>
        <v>Boleto</v>
      </c>
      <c r="F17" s="11" t="str">
        <f>IFERROR(VLOOKUP(B17&amp;C17,'Banco de Dados'!$I$3:$L$1006,3,FALSE),"")</f>
        <v>Fixo</v>
      </c>
      <c r="G17" s="11">
        <v>452</v>
      </c>
      <c r="H17" s="17">
        <v>42710</v>
      </c>
      <c r="I17" s="13" t="s">
        <v>14</v>
      </c>
      <c r="J17" s="11" t="s">
        <v>39</v>
      </c>
      <c r="L17" s="52"/>
      <c r="N17" s="18"/>
      <c r="O17" s="41" t="s">
        <v>52</v>
      </c>
      <c r="P17" s="42"/>
      <c r="Q17" s="42"/>
      <c r="R17" s="42"/>
      <c r="S17" s="42"/>
      <c r="T17" s="34"/>
      <c r="U17" s="34"/>
      <c r="V17" s="34"/>
      <c r="W17" s="35"/>
      <c r="X17" s="5"/>
      <c r="Y17" s="5"/>
      <c r="Z17" s="5"/>
      <c r="AA17" s="5"/>
      <c r="AB17" s="5"/>
      <c r="AC17" s="5"/>
    </row>
    <row r="18" spans="1:29" x14ac:dyDescent="0.25">
      <c r="A18" s="11">
        <f t="shared" si="0"/>
        <v>3</v>
      </c>
      <c r="B18" s="11" t="s">
        <v>19</v>
      </c>
      <c r="C18" s="11" t="s">
        <v>23</v>
      </c>
      <c r="E18" s="11" t="str">
        <f>IFERROR(VLOOKUP(B18&amp;C18,'Banco de Dados'!$I$3:$L$1006,4,FALSE),"")</f>
        <v>Boleto</v>
      </c>
      <c r="F18" s="11" t="str">
        <f>IFERROR(VLOOKUP(B18&amp;C18,'Banco de Dados'!$I$3:$L$1006,3,FALSE),"")</f>
        <v>Fixo</v>
      </c>
      <c r="G18" s="11">
        <v>542</v>
      </c>
      <c r="H18" s="17">
        <v>42711</v>
      </c>
      <c r="I18" s="14" t="s">
        <v>14</v>
      </c>
      <c r="J18" s="11" t="s">
        <v>39</v>
      </c>
      <c r="L18" s="52"/>
      <c r="N18" s="5"/>
      <c r="O18" s="43"/>
      <c r="P18" s="5"/>
      <c r="Q18" s="5"/>
      <c r="R18" s="5"/>
      <c r="S18" s="5"/>
      <c r="T18" s="5"/>
      <c r="U18" s="5"/>
      <c r="V18" s="5"/>
      <c r="W18" s="37"/>
      <c r="X18" s="5"/>
      <c r="Y18" s="5"/>
      <c r="Z18" s="5"/>
      <c r="AA18" s="5"/>
      <c r="AB18" s="5"/>
      <c r="AC18" s="5"/>
    </row>
    <row r="19" spans="1:29" x14ac:dyDescent="0.25">
      <c r="A19" s="11">
        <f t="shared" si="0"/>
        <v>4</v>
      </c>
      <c r="B19" s="11" t="s">
        <v>31</v>
      </c>
      <c r="C19" s="11" t="s">
        <v>22</v>
      </c>
      <c r="E19" s="11" t="str">
        <f>IFERROR(VLOOKUP(B19&amp;C19,'Banco de Dados'!$I$3:$L$1006,4,FALSE),"")</f>
        <v>Boleto</v>
      </c>
      <c r="F19" s="11" t="str">
        <f>IFERROR(VLOOKUP(B19&amp;C19,'Banco de Dados'!$I$3:$L$1006,3,FALSE),"")</f>
        <v>Fixo</v>
      </c>
      <c r="G19" s="11">
        <v>452</v>
      </c>
      <c r="H19" s="17">
        <v>42712</v>
      </c>
      <c r="I19" s="13" t="s">
        <v>14</v>
      </c>
      <c r="J19" s="11" t="s">
        <v>39</v>
      </c>
      <c r="L19" s="52"/>
      <c r="N19" s="49"/>
      <c r="O19" s="44" t="s">
        <v>43</v>
      </c>
      <c r="P19" s="45"/>
      <c r="Q19" s="5"/>
      <c r="R19" s="5"/>
      <c r="S19" s="5"/>
      <c r="T19" s="5"/>
      <c r="U19" s="5"/>
      <c r="V19" s="5"/>
      <c r="W19" s="37"/>
      <c r="X19" s="5"/>
      <c r="Y19" s="5"/>
      <c r="Z19" s="5"/>
      <c r="AA19" s="5"/>
      <c r="AB19" s="5"/>
      <c r="AC19" s="5"/>
    </row>
    <row r="20" spans="1:29" x14ac:dyDescent="0.25">
      <c r="A20" s="11">
        <f t="shared" si="0"/>
        <v>5</v>
      </c>
      <c r="B20" s="11" t="s">
        <v>19</v>
      </c>
      <c r="C20" s="11" t="s">
        <v>23</v>
      </c>
      <c r="E20" s="11" t="str">
        <f>IFERROR(VLOOKUP(B20&amp;C20,'Banco de Dados'!$I$3:$L$1006,4,FALSE),"")</f>
        <v>Boleto</v>
      </c>
      <c r="F20" s="11" t="str">
        <f>IFERROR(VLOOKUP(B20&amp;C20,'Banco de Dados'!$I$3:$L$1006,3,FALSE),"")</f>
        <v>Fixo</v>
      </c>
      <c r="G20" s="11">
        <v>475</v>
      </c>
      <c r="H20" s="17">
        <v>42713</v>
      </c>
      <c r="I20" s="13" t="s">
        <v>14</v>
      </c>
      <c r="J20" s="11" t="s">
        <v>39</v>
      </c>
      <c r="L20" s="52"/>
      <c r="N20" s="5"/>
      <c r="O20" s="53"/>
      <c r="P20" s="5"/>
      <c r="Q20" s="5"/>
      <c r="R20" s="5"/>
      <c r="S20" s="5"/>
      <c r="T20" s="5"/>
      <c r="U20" s="5"/>
      <c r="V20" s="5"/>
      <c r="W20" s="37"/>
      <c r="X20" s="5"/>
      <c r="Y20" s="5"/>
      <c r="Z20" s="5"/>
      <c r="AA20" s="5"/>
      <c r="AB20" s="5"/>
      <c r="AC20" s="5"/>
    </row>
    <row r="21" spans="1:29" x14ac:dyDescent="0.25">
      <c r="A21" s="11">
        <f t="shared" si="0"/>
        <v>6</v>
      </c>
      <c r="B21" s="11" t="s">
        <v>31</v>
      </c>
      <c r="C21" s="11" t="s">
        <v>22</v>
      </c>
      <c r="E21" s="11" t="str">
        <f>IFERROR(VLOOKUP(B21&amp;C21,'Banco de Dados'!$I$3:$L$1006,4,FALSE),"")</f>
        <v>Boleto</v>
      </c>
      <c r="F21" s="11" t="str">
        <f>IFERROR(VLOOKUP(B21&amp;C21,'Banco de Dados'!$I$3:$L$1006,3,FALSE),"")</f>
        <v>Fixo</v>
      </c>
      <c r="G21" s="11">
        <v>748</v>
      </c>
      <c r="H21" s="17">
        <v>42714</v>
      </c>
      <c r="I21" s="13" t="s">
        <v>14</v>
      </c>
      <c r="J21" s="11" t="s">
        <v>39</v>
      </c>
      <c r="L21" s="52"/>
      <c r="N21" s="5"/>
      <c r="O21" s="53"/>
      <c r="P21" s="5"/>
      <c r="Q21" s="5"/>
      <c r="R21" s="5"/>
      <c r="S21" s="5"/>
      <c r="T21" s="5"/>
      <c r="U21" s="5"/>
      <c r="V21" s="5"/>
      <c r="W21" s="37"/>
      <c r="X21" s="5"/>
      <c r="Y21" s="5"/>
      <c r="Z21" s="5"/>
      <c r="AA21" s="5"/>
      <c r="AB21" s="5"/>
      <c r="AC21" s="5"/>
    </row>
    <row r="22" spans="1:29" x14ac:dyDescent="0.25">
      <c r="A22" s="11">
        <f t="shared" si="0"/>
        <v>7</v>
      </c>
      <c r="B22" s="11" t="s">
        <v>18</v>
      </c>
      <c r="C22" s="11" t="s">
        <v>23</v>
      </c>
      <c r="E22" s="11" t="str">
        <f>IFERROR(VLOOKUP(B22&amp;C22,'Banco de Dados'!$I$3:$L$1006,4,FALSE),"")</f>
        <v>Boleto</v>
      </c>
      <c r="F22" s="11" t="str">
        <f>IFERROR(VLOOKUP(B22&amp;C22,'Banco de Dados'!$I$3:$L$1006,3,FALSE),"")</f>
        <v>Fixo</v>
      </c>
      <c r="G22" s="11">
        <v>54</v>
      </c>
      <c r="H22" s="17">
        <v>42715</v>
      </c>
      <c r="I22" s="13" t="s">
        <v>14</v>
      </c>
      <c r="J22" s="11" t="s">
        <v>39</v>
      </c>
      <c r="L22" s="52"/>
      <c r="N22" s="49"/>
      <c r="O22" s="44" t="s">
        <v>53</v>
      </c>
      <c r="P22" s="45"/>
      <c r="Q22" s="5"/>
      <c r="R22" s="5"/>
      <c r="S22" s="5"/>
      <c r="T22" s="5"/>
      <c r="U22" s="5"/>
      <c r="V22" s="5"/>
      <c r="W22" s="37"/>
      <c r="X22" s="5"/>
      <c r="Y22" s="5"/>
      <c r="Z22" s="5"/>
      <c r="AA22" s="5"/>
      <c r="AB22" s="5"/>
      <c r="AC22" s="5"/>
    </row>
    <row r="23" spans="1:29" x14ac:dyDescent="0.25">
      <c r="A23" s="11">
        <f t="shared" si="0"/>
        <v>8</v>
      </c>
      <c r="B23" s="11" t="s">
        <v>19</v>
      </c>
      <c r="C23" s="11" t="s">
        <v>23</v>
      </c>
      <c r="E23" s="11" t="str">
        <f>IFERROR(VLOOKUP(B23&amp;C23,'Banco de Dados'!$I$3:$L$1006,4,FALSE),"")</f>
        <v>Boleto</v>
      </c>
      <c r="F23" s="11" t="str">
        <f>IFERROR(VLOOKUP(B23&amp;C23,'Banco de Dados'!$I$3:$L$1006,3,FALSE),"")</f>
        <v>Fixo</v>
      </c>
      <c r="G23" s="13">
        <v>51</v>
      </c>
      <c r="H23" s="17">
        <v>42716</v>
      </c>
      <c r="I23" s="13" t="s">
        <v>14</v>
      </c>
      <c r="J23" s="11" t="s">
        <v>39</v>
      </c>
      <c r="L23" s="52"/>
      <c r="N23" s="5"/>
      <c r="O23" s="53"/>
      <c r="P23" s="5"/>
      <c r="Q23" s="5"/>
      <c r="R23" s="5"/>
      <c r="S23" s="5"/>
      <c r="T23" s="5"/>
      <c r="U23" s="5"/>
      <c r="V23" s="5"/>
      <c r="W23" s="37"/>
      <c r="X23" s="5"/>
      <c r="Y23" s="5"/>
      <c r="Z23" s="5"/>
      <c r="AA23" s="5"/>
      <c r="AB23" s="5"/>
      <c r="AC23" s="5"/>
    </row>
    <row r="24" spans="1:29" x14ac:dyDescent="0.25">
      <c r="A24" s="11">
        <f t="shared" si="0"/>
        <v>9</v>
      </c>
      <c r="B24" s="11" t="s">
        <v>18</v>
      </c>
      <c r="C24" s="11" t="s">
        <v>23</v>
      </c>
      <c r="E24" s="11" t="str">
        <f>IFERROR(VLOOKUP(B24&amp;C24,'Banco de Dados'!$I$3:$L$1006,4,FALSE),"")</f>
        <v>Boleto</v>
      </c>
      <c r="F24" s="11" t="str">
        <f>IFERROR(VLOOKUP(B24&amp;C24,'Banco de Dados'!$I$3:$L$1006,3,FALSE),"")</f>
        <v>Fixo</v>
      </c>
      <c r="G24" s="13">
        <v>516</v>
      </c>
      <c r="H24" s="17">
        <v>42717</v>
      </c>
      <c r="I24" s="13" t="s">
        <v>14</v>
      </c>
      <c r="J24" s="11" t="s">
        <v>39</v>
      </c>
      <c r="L24" s="52"/>
      <c r="N24" s="5"/>
      <c r="O24" s="43"/>
      <c r="P24" s="5"/>
      <c r="Q24" s="5"/>
      <c r="R24" s="5"/>
      <c r="S24" s="5"/>
      <c r="T24" s="5"/>
      <c r="U24" s="5"/>
      <c r="V24" s="5"/>
      <c r="W24" s="37"/>
      <c r="X24" s="5"/>
      <c r="Y24" s="5"/>
      <c r="Z24" s="5"/>
      <c r="AA24" s="5"/>
      <c r="AB24" s="5"/>
      <c r="AC24" s="5"/>
    </row>
    <row r="25" spans="1:29" x14ac:dyDescent="0.25">
      <c r="A25" s="11">
        <f t="shared" si="0"/>
        <v>10</v>
      </c>
      <c r="B25" s="11" t="s">
        <v>19</v>
      </c>
      <c r="C25" s="11" t="s">
        <v>22</v>
      </c>
      <c r="E25" s="11" t="str">
        <f>IFERROR(VLOOKUP(B25&amp;C25,'Banco de Dados'!$I$3:$L$1006,4,FALSE),"")</f>
        <v>Debito</v>
      </c>
      <c r="F25" s="11" t="str">
        <f>IFERROR(VLOOKUP(B25&amp;C25,'Banco de Dados'!$I$3:$L$1006,3,FALSE),"")</f>
        <v>Variavel</v>
      </c>
      <c r="G25" s="13">
        <v>555</v>
      </c>
      <c r="H25" s="17">
        <v>42718</v>
      </c>
      <c r="I25" s="13" t="s">
        <v>14</v>
      </c>
      <c r="J25" s="11" t="s">
        <v>39</v>
      </c>
      <c r="L25" s="52"/>
      <c r="N25" s="49"/>
      <c r="O25" s="44" t="s">
        <v>54</v>
      </c>
      <c r="P25" s="45"/>
      <c r="Q25" s="45"/>
      <c r="R25" s="5"/>
      <c r="S25" s="5"/>
      <c r="T25" s="5"/>
      <c r="U25" s="5"/>
      <c r="V25" s="5"/>
      <c r="W25" s="37"/>
      <c r="X25" s="5"/>
      <c r="Y25" s="5"/>
      <c r="Z25" s="5"/>
      <c r="AA25" s="5"/>
      <c r="AB25" s="5"/>
      <c r="AC25" s="5"/>
    </row>
    <row r="26" spans="1:29" x14ac:dyDescent="0.25">
      <c r="A26" s="11">
        <f t="shared" si="0"/>
        <v>11</v>
      </c>
      <c r="B26" s="11" t="s">
        <v>19</v>
      </c>
      <c r="C26" s="11" t="s">
        <v>23</v>
      </c>
      <c r="E26" s="11" t="str">
        <f>IFERROR(VLOOKUP(B26&amp;C26,'Banco de Dados'!$I$3:$L$1006,4,FALSE),"")</f>
        <v>Boleto</v>
      </c>
      <c r="F26" s="11" t="str">
        <f>IFERROR(VLOOKUP(B26&amp;C26,'Banco de Dados'!$I$3:$L$1006,3,FALSE),"")</f>
        <v>Fixo</v>
      </c>
      <c r="G26" s="13">
        <v>51</v>
      </c>
      <c r="H26" s="17">
        <v>42719</v>
      </c>
      <c r="I26" s="13" t="s">
        <v>14</v>
      </c>
      <c r="J26" s="11" t="s">
        <v>39</v>
      </c>
      <c r="L26" s="52"/>
      <c r="N26" s="5"/>
      <c r="O26" s="43"/>
      <c r="P26" s="5"/>
      <c r="Q26" s="5"/>
      <c r="R26" s="5"/>
      <c r="S26" s="5"/>
      <c r="T26" s="5"/>
      <c r="U26" s="5"/>
      <c r="V26" s="5"/>
      <c r="W26" s="37"/>
      <c r="X26" s="5"/>
      <c r="Y26" s="5"/>
      <c r="Z26" s="5"/>
      <c r="AA26" s="5"/>
      <c r="AB26" s="5"/>
      <c r="AC26" s="5"/>
    </row>
    <row r="27" spans="1:29" collapsed="1" x14ac:dyDescent="0.25">
      <c r="A27" s="11">
        <f t="shared" si="0"/>
        <v>12</v>
      </c>
      <c r="B27" s="11" t="s">
        <v>20</v>
      </c>
      <c r="C27" s="11" t="s">
        <v>23</v>
      </c>
      <c r="E27" s="11" t="str">
        <f>IFERROR(VLOOKUP(B27&amp;C27,'Banco de Dados'!$I$3:$L$1006,4,FALSE),"")</f>
        <v>Boleto</v>
      </c>
      <c r="F27" s="11" t="str">
        <f>IFERROR(VLOOKUP(B27&amp;C27,'Banco de Dados'!$I$3:$L$1006,3,FALSE),"")</f>
        <v>Fixo</v>
      </c>
      <c r="G27" s="13">
        <v>544</v>
      </c>
      <c r="H27" s="17">
        <v>42720</v>
      </c>
      <c r="I27" s="13" t="s">
        <v>14</v>
      </c>
      <c r="J27" s="11" t="s">
        <v>39</v>
      </c>
      <c r="L27" s="52"/>
      <c r="N27" s="5"/>
      <c r="O27" s="43"/>
      <c r="P27" s="5"/>
      <c r="Q27" s="5"/>
      <c r="R27" s="5"/>
      <c r="S27" s="5"/>
      <c r="T27" s="5"/>
      <c r="U27" s="5"/>
      <c r="V27" s="5"/>
      <c r="W27" s="46"/>
      <c r="X27" s="7"/>
      <c r="Y27" s="5"/>
      <c r="Z27" s="5"/>
      <c r="AA27" s="5"/>
      <c r="AB27" s="7">
        <v>1</v>
      </c>
      <c r="AC27" s="7"/>
    </row>
    <row r="28" spans="1:29" x14ac:dyDescent="0.25">
      <c r="A28" s="11">
        <f t="shared" si="0"/>
        <v>13</v>
      </c>
      <c r="B28" s="11" t="s">
        <v>19</v>
      </c>
      <c r="C28" s="11" t="s">
        <v>23</v>
      </c>
      <c r="E28" s="11" t="str">
        <f>IFERROR(VLOOKUP(B28&amp;C28,'Banco de Dados'!$I$3:$L$1006,4,FALSE),"")</f>
        <v>Boleto</v>
      </c>
      <c r="F28" s="11" t="str">
        <f>IFERROR(VLOOKUP(B28&amp;C28,'Banco de Dados'!$I$3:$L$1006,3,FALSE),"")</f>
        <v>Fixo</v>
      </c>
      <c r="G28" s="13">
        <v>15</v>
      </c>
      <c r="H28" s="17">
        <v>42721</v>
      </c>
      <c r="I28" s="13" t="s">
        <v>14</v>
      </c>
      <c r="J28" s="11" t="s">
        <v>39</v>
      </c>
      <c r="L28" s="52"/>
      <c r="N28" s="51"/>
      <c r="O28" s="44" t="s">
        <v>8</v>
      </c>
      <c r="P28" s="45"/>
      <c r="Q28" s="5"/>
      <c r="R28" s="5"/>
      <c r="S28" s="5"/>
      <c r="T28" s="5"/>
      <c r="U28" s="5"/>
      <c r="V28" s="5"/>
      <c r="W28" s="46"/>
      <c r="X28" s="7"/>
      <c r="Y28" s="5"/>
      <c r="Z28" s="5"/>
      <c r="AA28" s="5"/>
      <c r="AB28" s="7"/>
      <c r="AC28" s="7"/>
    </row>
    <row r="29" spans="1:29" collapsed="1" x14ac:dyDescent="0.25">
      <c r="A29" s="11">
        <f t="shared" si="0"/>
        <v>14</v>
      </c>
      <c r="B29" s="11" t="s">
        <v>19</v>
      </c>
      <c r="C29" s="11" t="s">
        <v>23</v>
      </c>
      <c r="E29" s="11" t="str">
        <f>IFERROR(VLOOKUP(B29&amp;C29,'Banco de Dados'!$I$3:$L$1006,4,FALSE),"")</f>
        <v>Boleto</v>
      </c>
      <c r="F29" s="11" t="str">
        <f>IFERROR(VLOOKUP(B29&amp;C29,'Banco de Dados'!$I$3:$L$1006,3,FALSE),"")</f>
        <v>Fixo</v>
      </c>
      <c r="G29" s="13">
        <v>41</v>
      </c>
      <c r="H29" s="17">
        <v>42722</v>
      </c>
      <c r="I29" s="13" t="s">
        <v>14</v>
      </c>
      <c r="J29" s="11" t="s">
        <v>39</v>
      </c>
      <c r="L29" s="52"/>
      <c r="N29" s="5"/>
      <c r="O29" s="43"/>
      <c r="P29" s="5"/>
      <c r="Q29" s="5"/>
      <c r="R29" s="5"/>
      <c r="S29" s="5"/>
      <c r="T29" s="5"/>
      <c r="U29" s="5"/>
      <c r="V29" s="5"/>
      <c r="W29" s="46"/>
      <c r="X29" s="7"/>
      <c r="Y29" s="5"/>
      <c r="Z29" s="5"/>
      <c r="AA29" s="5"/>
      <c r="AB29" s="7"/>
      <c r="AC29" s="7"/>
    </row>
    <row r="30" spans="1:29" x14ac:dyDescent="0.25">
      <c r="A30" s="11">
        <f t="shared" si="0"/>
        <v>15</v>
      </c>
      <c r="B30" s="11" t="s">
        <v>34</v>
      </c>
      <c r="C30" s="11" t="s">
        <v>22</v>
      </c>
      <c r="E30" s="11" t="str">
        <f>IFERROR(VLOOKUP(B30&amp;C30,'Banco de Dados'!$I$3:$L$1006,4,FALSE),"")</f>
        <v>Boleto</v>
      </c>
      <c r="F30" s="11" t="str">
        <f>IFERROR(VLOOKUP(B30&amp;C30,'Banco de Dados'!$I$3:$L$1006,3,FALSE),"")</f>
        <v>Fixo</v>
      </c>
      <c r="G30" s="13">
        <v>80000</v>
      </c>
      <c r="H30" s="17">
        <v>42712</v>
      </c>
      <c r="I30" s="13" t="s">
        <v>14</v>
      </c>
      <c r="J30" s="11" t="s">
        <v>39</v>
      </c>
      <c r="L30" s="52"/>
      <c r="N30" s="5"/>
      <c r="O30" s="43"/>
      <c r="P30" s="5"/>
      <c r="Q30" s="5"/>
      <c r="R30" s="5"/>
      <c r="S30" s="5"/>
      <c r="T30" s="5"/>
      <c r="U30" s="5"/>
      <c r="V30" s="5"/>
      <c r="W30" s="46"/>
      <c r="X30" s="7"/>
      <c r="Y30" s="5"/>
      <c r="Z30" s="5"/>
      <c r="AA30" s="5"/>
      <c r="AB30" s="7">
        <v>2</v>
      </c>
      <c r="AC30" s="7"/>
    </row>
    <row r="31" spans="1:29" x14ac:dyDescent="0.25">
      <c r="A31" s="11">
        <f t="shared" si="0"/>
        <v>16</v>
      </c>
      <c r="B31" s="11" t="s">
        <v>18</v>
      </c>
      <c r="C31" s="11" t="s">
        <v>23</v>
      </c>
      <c r="E31" s="11" t="str">
        <f>IFERROR(VLOOKUP(B31&amp;C31,'Banco de Dados'!$I$3:$L$1006,4,FALSE),"")</f>
        <v>Boleto</v>
      </c>
      <c r="F31" s="11" t="str">
        <f>IFERROR(VLOOKUP(B31&amp;C31,'Banco de Dados'!$I$3:$L$1006,3,FALSE),"")</f>
        <v>Fixo</v>
      </c>
      <c r="G31" s="13">
        <v>156</v>
      </c>
      <c r="H31" s="17">
        <v>42713</v>
      </c>
      <c r="I31" s="13" t="s">
        <v>14</v>
      </c>
      <c r="J31" s="11" t="s">
        <v>39</v>
      </c>
      <c r="L31" s="52"/>
      <c r="N31" s="5"/>
      <c r="O31" s="53"/>
      <c r="P31" s="5"/>
      <c r="Q31" s="5"/>
      <c r="R31" s="5"/>
      <c r="S31" s="5"/>
      <c r="T31" s="5"/>
      <c r="U31" s="5"/>
      <c r="V31" s="5"/>
      <c r="W31" s="46"/>
      <c r="X31" s="7"/>
      <c r="Y31" s="5"/>
      <c r="Z31" s="5"/>
      <c r="AA31" s="5"/>
      <c r="AB31" s="7"/>
      <c r="AC31" s="7"/>
    </row>
    <row r="32" spans="1:29" x14ac:dyDescent="0.25">
      <c r="A32" s="10">
        <f t="shared" si="0"/>
        <v>1</v>
      </c>
      <c r="B32" s="10" t="s">
        <v>34</v>
      </c>
      <c r="C32" s="10" t="s">
        <v>23</v>
      </c>
      <c r="D32" s="10"/>
      <c r="E32" s="10" t="str">
        <f>IFERROR(VLOOKUP(B32&amp;C32,'Banco de Dados'!$I$3:$L$1006,4,FALSE),"")</f>
        <v>NF</v>
      </c>
      <c r="F32" s="10" t="str">
        <f>IFERROR(VLOOKUP(B32&amp;C32,'Banco de Dados'!$I$3:$L$1006,3,FALSE),"")</f>
        <v>Fixo</v>
      </c>
      <c r="G32" s="10">
        <v>4118</v>
      </c>
      <c r="H32" s="16" t="s">
        <v>46</v>
      </c>
      <c r="I32" s="10" t="s">
        <v>47</v>
      </c>
      <c r="J32" s="10" t="s">
        <v>37</v>
      </c>
      <c r="L32" s="52"/>
      <c r="N32" s="5"/>
      <c r="O32" s="53"/>
      <c r="P32" s="5"/>
      <c r="Q32" s="5"/>
      <c r="R32" s="5"/>
      <c r="S32" s="5"/>
      <c r="T32" s="5"/>
      <c r="U32" s="5"/>
      <c r="V32" s="5"/>
      <c r="W32" s="46"/>
      <c r="X32" s="7"/>
      <c r="Y32" s="5"/>
      <c r="Z32" s="5"/>
      <c r="AA32" s="5"/>
      <c r="AB32" s="7"/>
      <c r="AC32" s="7"/>
    </row>
    <row r="33" spans="1:29" collapsed="1" x14ac:dyDescent="0.25">
      <c r="A33" s="11" t="str">
        <f t="shared" si="0"/>
        <v/>
      </c>
      <c r="B33" s="11" t="s">
        <v>48</v>
      </c>
      <c r="C33" s="11" t="s">
        <v>22</v>
      </c>
      <c r="E33" s="11" t="str">
        <f>IFERROR(VLOOKUP(B33&amp;C33,'Banco de Dados'!$I$3:$L$1006,4,FALSE),"")</f>
        <v>Deposito</v>
      </c>
      <c r="F33" s="11" t="str">
        <f>IFERROR(VLOOKUP(B33&amp;C33,'Banco de Dados'!$I$3:$L$1006,3,FALSE),"")</f>
        <v>Fixo</v>
      </c>
      <c r="G33" s="13"/>
      <c r="I33" s="13"/>
      <c r="L33" s="52"/>
      <c r="N33" s="5"/>
      <c r="O33" s="53"/>
      <c r="P33" s="5"/>
      <c r="Q33" s="5"/>
      <c r="R33" s="5"/>
      <c r="S33" s="5"/>
      <c r="T33" s="5"/>
      <c r="U33" s="5"/>
      <c r="V33" s="5"/>
      <c r="W33" s="46"/>
      <c r="X33" s="7"/>
      <c r="Y33" s="5"/>
      <c r="Z33" s="5"/>
      <c r="AA33" s="5"/>
      <c r="AB33" s="7"/>
      <c r="AC33" s="7"/>
    </row>
    <row r="34" spans="1:29" x14ac:dyDescent="0.25">
      <c r="A34" s="11" t="str">
        <f t="shared" si="0"/>
        <v/>
      </c>
      <c r="B34" s="11" t="s">
        <v>56</v>
      </c>
      <c r="C34" s="11" t="s">
        <v>21</v>
      </c>
      <c r="E34" s="11" t="str">
        <f>IFERROR(VLOOKUP(B34&amp;C34,'Banco de Dados'!$I$3:$L$1006,4,FALSE),"")</f>
        <v>Boleto</v>
      </c>
      <c r="F34" s="11" t="str">
        <f>IFERROR(VLOOKUP(B34&amp;C34,'Banco de Dados'!$I$3:$L$1006,3,FALSE),"")</f>
        <v>Fixo</v>
      </c>
      <c r="G34" s="13"/>
      <c r="I34" s="13"/>
      <c r="L34" s="52"/>
      <c r="N34" s="5"/>
      <c r="O34" s="47"/>
      <c r="P34" s="39"/>
      <c r="Q34" s="39"/>
      <c r="R34" s="39"/>
      <c r="S34" s="39"/>
      <c r="T34" s="39"/>
      <c r="U34" s="39"/>
      <c r="V34" s="39"/>
      <c r="W34" s="48"/>
      <c r="X34" s="7"/>
      <c r="Y34" s="5"/>
      <c r="Z34" s="5"/>
      <c r="AA34" s="5"/>
      <c r="AB34" s="7"/>
      <c r="AC34" s="7"/>
    </row>
    <row r="35" spans="1:29" x14ac:dyDescent="0.25">
      <c r="A35" s="11" t="str">
        <f t="shared" si="0"/>
        <v/>
      </c>
      <c r="B35" s="11" t="s">
        <v>56</v>
      </c>
      <c r="C35" s="11" t="s">
        <v>22</v>
      </c>
      <c r="E35" s="11" t="str">
        <f>IFERROR(VLOOKUP(B35&amp;C35,'Banco de Dados'!$I$3:$L$1006,4,FALSE),"")</f>
        <v>Deposito</v>
      </c>
      <c r="F35" s="11" t="str">
        <f>IFERROR(VLOOKUP(B35&amp;C35,'Banco de Dados'!$I$3:$L$1006,3,FALSE),"")</f>
        <v>Fixo</v>
      </c>
      <c r="G35" s="13"/>
      <c r="I35" s="13"/>
      <c r="L35" s="52"/>
      <c r="N35" s="5"/>
      <c r="O35" s="9"/>
      <c r="P35" s="5"/>
      <c r="Q35" s="5"/>
      <c r="R35" s="5"/>
      <c r="S35" s="5"/>
      <c r="T35" s="5"/>
      <c r="U35" s="5"/>
      <c r="V35" s="5"/>
      <c r="W35" s="7"/>
      <c r="X35" s="7"/>
      <c r="Y35" s="5"/>
      <c r="Z35" s="5"/>
      <c r="AA35" s="5"/>
      <c r="AB35" s="7"/>
      <c r="AC35" s="7"/>
    </row>
    <row r="36" spans="1:29" collapsed="1" x14ac:dyDescent="0.25">
      <c r="A36" s="11" t="str">
        <f t="shared" si="0"/>
        <v/>
      </c>
      <c r="B36" s="11" t="s">
        <v>57</v>
      </c>
      <c r="C36" s="11" t="s">
        <v>22</v>
      </c>
      <c r="E36" s="11" t="str">
        <f>IFERROR(VLOOKUP(B36&amp;C36,'Banco de Dados'!$I$3:$L$1006,4,FALSE),"")</f>
        <v>Deposito</v>
      </c>
      <c r="F36" s="11" t="str">
        <f>IFERROR(VLOOKUP(B36&amp;C36,'Banco de Dados'!$I$3:$L$1006,3,FALSE),"")</f>
        <v>Fixo</v>
      </c>
      <c r="G36" s="13"/>
      <c r="I36" s="13"/>
      <c r="L36" s="52"/>
      <c r="N36" s="5"/>
      <c r="O36" s="5"/>
      <c r="P36" s="5"/>
      <c r="Q36" s="5"/>
      <c r="R36" s="5"/>
      <c r="S36" s="5"/>
      <c r="T36" s="5"/>
      <c r="U36" s="5"/>
      <c r="V36" s="5"/>
      <c r="W36" s="7"/>
      <c r="X36" s="7"/>
      <c r="Y36" s="5"/>
      <c r="Z36" s="5"/>
      <c r="AA36" s="5"/>
      <c r="AB36" s="7"/>
      <c r="AC36" s="7"/>
    </row>
    <row r="37" spans="1:29" x14ac:dyDescent="0.25">
      <c r="A37" s="11" t="str">
        <f t="shared" si="0"/>
        <v/>
      </c>
      <c r="B37" s="11" t="s">
        <v>19</v>
      </c>
      <c r="C37" s="11" t="s">
        <v>23</v>
      </c>
      <c r="E37" s="11" t="str">
        <f>IFERROR(VLOOKUP(B37&amp;C37,'Banco de Dados'!$I$3:$L$1006,4,FALSE),"")</f>
        <v>Boleto</v>
      </c>
      <c r="F37" s="11" t="str">
        <f>IFERROR(VLOOKUP(B37&amp;C37,'Banco de Dados'!$I$3:$L$1006,3,FALSE),"")</f>
        <v>Fixo</v>
      </c>
      <c r="G37" s="13"/>
      <c r="I37" s="13"/>
      <c r="O37" s="5"/>
      <c r="P37" s="5"/>
      <c r="Q37" s="5"/>
      <c r="R37" s="5"/>
      <c r="S37" s="5"/>
      <c r="T37" s="5"/>
      <c r="U37" s="5"/>
      <c r="V37" s="5"/>
      <c r="W37" s="7"/>
      <c r="X37" s="7"/>
      <c r="Y37" s="5"/>
      <c r="Z37" s="5"/>
      <c r="AA37" s="5"/>
      <c r="AB37" s="7"/>
      <c r="AC37" s="7"/>
    </row>
    <row r="38" spans="1:29" x14ac:dyDescent="0.25">
      <c r="A38" s="11" t="str">
        <f t="shared" si="0"/>
        <v/>
      </c>
      <c r="B38" s="11" t="s">
        <v>55</v>
      </c>
      <c r="E38" s="11" t="str">
        <f>IFERROR(VLOOKUP(B38&amp;C38,'Banco de Dados'!$I$3:$L$1006,4,FALSE),"")</f>
        <v/>
      </c>
      <c r="F38" s="11" t="str">
        <f>IFERROR(VLOOKUP(B38&amp;C38,'Banco de Dados'!$I$3:$L$1006,3,FALSE),"")</f>
        <v/>
      </c>
      <c r="G38" s="13"/>
      <c r="I38" s="13"/>
      <c r="O38" s="5"/>
      <c r="P38" s="5"/>
      <c r="Q38" s="5"/>
      <c r="R38" s="5"/>
      <c r="S38" s="5"/>
      <c r="T38" s="5"/>
      <c r="U38" s="5"/>
      <c r="V38" s="5"/>
      <c r="W38" s="7"/>
      <c r="X38" s="7"/>
      <c r="Y38" s="5"/>
      <c r="Z38" s="5"/>
      <c r="AA38" s="5"/>
      <c r="AB38" s="7"/>
      <c r="AC38" s="7"/>
    </row>
    <row r="39" spans="1:29" x14ac:dyDescent="0.25">
      <c r="A39" s="11" t="str">
        <f t="shared" si="0"/>
        <v/>
      </c>
      <c r="B39" s="11" t="s">
        <v>18</v>
      </c>
      <c r="E39" s="11" t="str">
        <f>IFERROR(VLOOKUP(B39&amp;C39,'Banco de Dados'!$I$3:$L$1006,4,FALSE),"")</f>
        <v/>
      </c>
      <c r="F39" s="11" t="str">
        <f>IFERROR(VLOOKUP(B39&amp;C39,'Banco de Dados'!$I$3:$L$1006,3,FALSE),"")</f>
        <v/>
      </c>
      <c r="G39" s="13"/>
      <c r="I39" s="13"/>
      <c r="O39" s="5"/>
      <c r="P39" s="5"/>
      <c r="Q39" s="5"/>
      <c r="R39" s="5"/>
      <c r="S39" s="5"/>
      <c r="T39" s="5"/>
      <c r="U39" s="5"/>
      <c r="V39" s="5"/>
      <c r="W39" s="7"/>
      <c r="X39" s="7"/>
      <c r="Y39" s="5"/>
      <c r="Z39" s="5"/>
      <c r="AA39" s="5"/>
      <c r="AB39" s="7"/>
      <c r="AC39" s="7"/>
    </row>
    <row r="40" spans="1:29" x14ac:dyDescent="0.25">
      <c r="A40" s="11" t="str">
        <f t="shared" si="0"/>
        <v/>
      </c>
      <c r="E40" s="11" t="str">
        <f>IFERROR(VLOOKUP(B40&amp;C40,'Banco de Dados'!$I$3:$L$1006,4,FALSE),"")</f>
        <v/>
      </c>
      <c r="F40" s="11" t="str">
        <f>IFERROR(VLOOKUP(B40&amp;C40,'Banco de Dados'!$I$3:$L$1006,3,FALSE),"")</f>
        <v/>
      </c>
      <c r="G40" s="13"/>
      <c r="I40" s="13"/>
      <c r="O40" s="5"/>
      <c r="P40" s="5"/>
      <c r="Q40" s="5"/>
      <c r="R40" s="5"/>
      <c r="S40" s="5"/>
      <c r="T40" s="5"/>
      <c r="U40" s="5"/>
      <c r="V40" s="5"/>
      <c r="W40" s="7"/>
      <c r="X40" s="7"/>
      <c r="Y40" s="5"/>
      <c r="Z40" s="5"/>
      <c r="AA40" s="5"/>
      <c r="AB40" s="7"/>
      <c r="AC40" s="7"/>
    </row>
    <row r="41" spans="1:29" x14ac:dyDescent="0.25">
      <c r="A41" s="11" t="str">
        <f t="shared" si="0"/>
        <v/>
      </c>
      <c r="E41" s="11" t="str">
        <f>IFERROR(VLOOKUP(B41&amp;C41,'Banco de Dados'!$I$3:$L$1006,4,FALSE),"")</f>
        <v/>
      </c>
      <c r="F41" s="11" t="str">
        <f>IFERROR(VLOOKUP(B41&amp;C41,'Banco de Dados'!$I$3:$L$1006,3,FALSE),"")</f>
        <v/>
      </c>
      <c r="G41" s="13"/>
      <c r="I41" s="13"/>
      <c r="O41" s="5"/>
      <c r="P41" s="5"/>
      <c r="Q41" s="5"/>
      <c r="R41" s="5"/>
      <c r="S41" s="5"/>
      <c r="T41" s="5"/>
      <c r="U41" s="5"/>
      <c r="V41" s="5"/>
      <c r="W41" s="7"/>
      <c r="X41" s="7"/>
      <c r="Y41" s="5"/>
      <c r="Z41" s="5"/>
      <c r="AA41" s="5"/>
      <c r="AB41" s="7"/>
      <c r="AC41" s="7"/>
    </row>
    <row r="42" spans="1:29" x14ac:dyDescent="0.25">
      <c r="A42" s="11" t="str">
        <f t="shared" si="0"/>
        <v/>
      </c>
      <c r="E42" s="11" t="str">
        <f>IFERROR(VLOOKUP(B42&amp;C42,'Banco de Dados'!$I$3:$L$1006,4,FALSE),"")</f>
        <v/>
      </c>
      <c r="F42" s="11" t="str">
        <f>IFERROR(VLOOKUP(B42&amp;C42,'Banco de Dados'!$I$3:$L$1006,3,FALSE),"")</f>
        <v/>
      </c>
      <c r="G42" s="13"/>
      <c r="I42" s="13"/>
      <c r="O42" s="5"/>
      <c r="P42" s="5"/>
      <c r="Q42" s="5"/>
      <c r="R42" s="5"/>
      <c r="S42" s="5"/>
      <c r="T42" s="5"/>
      <c r="U42" s="5"/>
      <c r="V42" s="5"/>
      <c r="W42" s="7"/>
      <c r="X42" s="7"/>
      <c r="Y42" s="5"/>
      <c r="Z42" s="5"/>
      <c r="AA42" s="5"/>
      <c r="AB42" s="7"/>
      <c r="AC42" s="7"/>
    </row>
    <row r="43" spans="1:29" x14ac:dyDescent="0.25">
      <c r="A43" s="11" t="str">
        <f t="shared" si="0"/>
        <v/>
      </c>
      <c r="E43" s="11" t="str">
        <f>IFERROR(VLOOKUP(B43&amp;C43,'Banco de Dados'!$I$3:$L$1006,4,FALSE),"")</f>
        <v/>
      </c>
      <c r="F43" s="11" t="str">
        <f>IFERROR(VLOOKUP(B43&amp;C43,'Banco de Dados'!$I$3:$L$1006,3,FALSE),"")</f>
        <v/>
      </c>
      <c r="G43" s="13"/>
      <c r="I43" s="13"/>
      <c r="O43" s="5"/>
      <c r="P43" s="5"/>
      <c r="Q43" s="5"/>
      <c r="R43" s="5"/>
      <c r="S43" s="5"/>
      <c r="T43" s="5"/>
      <c r="U43" s="5"/>
      <c r="V43" s="5"/>
      <c r="W43" s="7"/>
      <c r="X43" s="7"/>
      <c r="Y43" s="5"/>
      <c r="Z43" s="5"/>
      <c r="AA43" s="5"/>
      <c r="AB43" s="7"/>
      <c r="AC43" s="7"/>
    </row>
    <row r="44" spans="1:29" x14ac:dyDescent="0.25">
      <c r="A44" s="11" t="str">
        <f t="shared" si="0"/>
        <v/>
      </c>
      <c r="E44" s="11" t="str">
        <f>IFERROR(VLOOKUP(B44&amp;C44,'Banco de Dados'!$I$3:$L$1006,4,FALSE),"")</f>
        <v/>
      </c>
      <c r="F44" s="11" t="str">
        <f>IFERROR(VLOOKUP(B44&amp;C44,'Banco de Dados'!$I$3:$L$1006,3,FALSE),"")</f>
        <v/>
      </c>
      <c r="G44" s="15"/>
      <c r="I44" s="13"/>
      <c r="O44" s="5"/>
      <c r="P44" s="5"/>
      <c r="Q44" s="5"/>
      <c r="R44" s="5"/>
      <c r="S44" s="5"/>
      <c r="T44" s="5"/>
      <c r="U44" s="5"/>
      <c r="V44" s="5"/>
      <c r="W44" s="7"/>
      <c r="X44" s="7"/>
      <c r="Y44" s="5"/>
      <c r="Z44" s="5"/>
      <c r="AA44" s="5"/>
      <c r="AB44" s="7"/>
      <c r="AC44" s="7"/>
    </row>
    <row r="45" spans="1:29" x14ac:dyDescent="0.25">
      <c r="A45" s="11" t="str">
        <f t="shared" si="0"/>
        <v/>
      </c>
      <c r="E45" s="11" t="str">
        <f>IFERROR(VLOOKUP(B45&amp;C45,'Banco de Dados'!$I$3:$L$1006,4,FALSE),"")</f>
        <v/>
      </c>
      <c r="F45" s="11" t="str">
        <f>IFERROR(VLOOKUP(B45&amp;C45,'Banco de Dados'!$I$3:$L$1006,3,FALSE),"")</f>
        <v/>
      </c>
      <c r="G45" s="15"/>
      <c r="I45" s="13"/>
      <c r="O45" s="5"/>
      <c r="P45" s="5"/>
      <c r="Q45" s="5"/>
      <c r="R45" s="5"/>
      <c r="S45" s="5"/>
      <c r="T45" s="5"/>
      <c r="U45" s="5"/>
      <c r="V45" s="5"/>
      <c r="W45" s="7"/>
      <c r="X45" s="7"/>
      <c r="Y45" s="5"/>
      <c r="Z45" s="5"/>
      <c r="AA45" s="5"/>
      <c r="AB45" s="7"/>
      <c r="AC45" s="7"/>
    </row>
    <row r="46" spans="1:29" x14ac:dyDescent="0.25">
      <c r="A46" s="11" t="str">
        <f t="shared" si="0"/>
        <v/>
      </c>
      <c r="E46" s="11" t="str">
        <f>IFERROR(VLOOKUP(B46&amp;C46,'Banco de Dados'!$I$3:$L$1006,4,FALSE),"")</f>
        <v/>
      </c>
      <c r="F46" s="11" t="str">
        <f>IFERROR(VLOOKUP(B46&amp;C46,'Banco de Dados'!$I$3:$L$1006,3,FALSE),"")</f>
        <v/>
      </c>
      <c r="G46" s="15"/>
      <c r="I46" s="13"/>
      <c r="O46" s="5"/>
      <c r="P46" s="5"/>
      <c r="Q46" s="5"/>
      <c r="R46" s="5"/>
      <c r="S46" s="5"/>
      <c r="T46" s="5"/>
      <c r="U46" s="5"/>
      <c r="V46" s="5"/>
      <c r="W46" s="7"/>
      <c r="X46" s="7"/>
      <c r="Y46" s="5"/>
      <c r="Z46" s="5"/>
      <c r="AA46" s="5"/>
      <c r="AB46" s="7"/>
      <c r="AC46" s="7"/>
    </row>
    <row r="47" spans="1:29" x14ac:dyDescent="0.25">
      <c r="A47" s="11" t="str">
        <f t="shared" si="0"/>
        <v/>
      </c>
      <c r="E47" s="11" t="str">
        <f>IFERROR(VLOOKUP(B47&amp;C47,'Banco de Dados'!$I$3:$L$1006,4,FALSE),"")</f>
        <v/>
      </c>
      <c r="F47" s="11" t="str">
        <f>IFERROR(VLOOKUP(B47&amp;C47,'Banco de Dados'!$I$3:$L$1006,3,FALSE),"")</f>
        <v/>
      </c>
      <c r="G47" s="15"/>
      <c r="I47" s="13"/>
      <c r="O47" s="5"/>
      <c r="P47" s="5"/>
      <c r="Q47" s="5"/>
      <c r="R47" s="5"/>
      <c r="S47" s="5"/>
      <c r="T47" s="5"/>
      <c r="U47" s="5"/>
      <c r="V47" s="5"/>
      <c r="W47" s="7"/>
      <c r="X47" s="7"/>
      <c r="Y47" s="5"/>
      <c r="Z47" s="5"/>
      <c r="AA47" s="5"/>
      <c r="AB47" s="7"/>
      <c r="AC47" s="7"/>
    </row>
    <row r="48" spans="1:29" x14ac:dyDescent="0.25">
      <c r="A48" s="11" t="str">
        <f t="shared" si="0"/>
        <v/>
      </c>
      <c r="E48" s="11" t="str">
        <f>IFERROR(VLOOKUP(B48&amp;C48,'Banco de Dados'!$I$3:$L$1006,4,FALSE),"")</f>
        <v/>
      </c>
      <c r="F48" s="11" t="str">
        <f>IFERROR(VLOOKUP(B48&amp;C48,'Banco de Dados'!$I$3:$L$1006,3,FALSE),"")</f>
        <v/>
      </c>
      <c r="G48" s="15"/>
      <c r="I48" s="13"/>
      <c r="O48" s="5"/>
      <c r="P48" s="5"/>
      <c r="Q48" s="5"/>
      <c r="R48" s="5"/>
      <c r="S48" s="5"/>
      <c r="T48" s="5"/>
      <c r="U48" s="5"/>
      <c r="V48" s="5"/>
      <c r="W48" s="6"/>
      <c r="X48" s="6"/>
      <c r="Y48" s="5"/>
      <c r="Z48" s="5"/>
      <c r="AA48" s="5"/>
      <c r="AB48" s="6"/>
      <c r="AC48" s="6"/>
    </row>
    <row r="49" spans="1:29" x14ac:dyDescent="0.25">
      <c r="A49" s="11" t="str">
        <f t="shared" si="0"/>
        <v/>
      </c>
      <c r="E49" s="11" t="str">
        <f>IFERROR(VLOOKUP(B49&amp;C49,'Banco de Dados'!$I$3:$L$1006,4,FALSE),"")</f>
        <v/>
      </c>
      <c r="F49" s="11" t="str">
        <f>IFERROR(VLOOKUP(B49&amp;C49,'Banco de Dados'!$I$3:$L$1006,3,FALSE),"")</f>
        <v/>
      </c>
      <c r="G49" s="15"/>
      <c r="I49" s="13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</row>
    <row r="50" spans="1:29" x14ac:dyDescent="0.25">
      <c r="A50" s="11" t="str">
        <f t="shared" si="0"/>
        <v/>
      </c>
      <c r="E50" s="11" t="str">
        <f>IFERROR(VLOOKUP(B50&amp;C50,'Banco de Dados'!$I$3:$L$1006,4,FALSE),"")</f>
        <v/>
      </c>
      <c r="F50" s="11" t="str">
        <f>IFERROR(VLOOKUP(B50&amp;C50,'Banco de Dados'!$I$3:$L$1006,3,FALSE),"")</f>
        <v/>
      </c>
      <c r="G50" s="15"/>
      <c r="I50" s="13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</row>
    <row r="51" spans="1:29" x14ac:dyDescent="0.25">
      <c r="A51" s="11" t="str">
        <f t="shared" si="0"/>
        <v/>
      </c>
      <c r="E51" s="11" t="str">
        <f>IFERROR(VLOOKUP(B51&amp;C51,'Banco de Dados'!$I$3:$L$1006,4,FALSE),"")</f>
        <v/>
      </c>
      <c r="F51" s="11" t="str">
        <f>IFERROR(VLOOKUP(B51&amp;C51,'Banco de Dados'!$I$3:$L$1006,3,FALSE),"")</f>
        <v/>
      </c>
      <c r="G51" s="15"/>
      <c r="I51" s="13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</row>
    <row r="52" spans="1:29" x14ac:dyDescent="0.25">
      <c r="A52" s="11" t="str">
        <f t="shared" si="0"/>
        <v/>
      </c>
      <c r="E52" s="11" t="str">
        <f>IFERROR(VLOOKUP(B52&amp;C52,'Banco de Dados'!$I$3:$L$1006,4,FALSE),"")</f>
        <v/>
      </c>
      <c r="F52" s="11" t="str">
        <f>IFERROR(VLOOKUP(B52&amp;C52,'Banco de Dados'!$I$3:$L$1006,3,FALSE),"")</f>
        <v/>
      </c>
      <c r="G52" s="15"/>
      <c r="I52" s="13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</row>
    <row r="53" spans="1:29" x14ac:dyDescent="0.25">
      <c r="A53" s="11" t="str">
        <f t="shared" si="0"/>
        <v/>
      </c>
      <c r="E53" s="11" t="str">
        <f>IFERROR(VLOOKUP(B53&amp;C53,'Banco de Dados'!$I$3:$L$1006,4,FALSE),"")</f>
        <v/>
      </c>
      <c r="F53" s="11" t="str">
        <f>IFERROR(VLOOKUP(B53&amp;C53,'Banco de Dados'!$I$3:$L$1006,3,FALSE),"")</f>
        <v/>
      </c>
      <c r="G53" s="15"/>
      <c r="I53" s="13"/>
    </row>
    <row r="54" spans="1:29" x14ac:dyDescent="0.25">
      <c r="A54" s="11" t="str">
        <f t="shared" si="0"/>
        <v/>
      </c>
      <c r="E54" s="11" t="str">
        <f>IFERROR(VLOOKUP(B54&amp;C54,'Banco de Dados'!$I$3:$L$1006,4,FALSE),"")</f>
        <v/>
      </c>
      <c r="F54" s="11" t="str">
        <f>IFERROR(VLOOKUP(B54&amp;C54,'Banco de Dados'!$I$3:$L$1006,3,FALSE),"")</f>
        <v/>
      </c>
      <c r="G54" s="15"/>
      <c r="I54" s="13"/>
    </row>
    <row r="55" spans="1:29" x14ac:dyDescent="0.25">
      <c r="A55" s="11" t="str">
        <f t="shared" si="0"/>
        <v/>
      </c>
      <c r="E55" s="11" t="str">
        <f>IFERROR(VLOOKUP(B55&amp;C55,'Banco de Dados'!$I$3:$L$1006,4,FALSE),"")</f>
        <v/>
      </c>
      <c r="F55" s="11" t="str">
        <f>IFERROR(VLOOKUP(B55&amp;C55,'Banco de Dados'!$I$3:$L$1006,3,FALSE),"")</f>
        <v/>
      </c>
      <c r="G55" s="15"/>
      <c r="I55" s="13"/>
    </row>
    <row r="56" spans="1:29" x14ac:dyDescent="0.25">
      <c r="A56" s="11" t="str">
        <f t="shared" si="0"/>
        <v/>
      </c>
      <c r="E56" s="11" t="str">
        <f>IFERROR(VLOOKUP(B56&amp;C56,'Banco de Dados'!$I$3:$L$1006,4,FALSE),"")</f>
        <v/>
      </c>
      <c r="F56" s="11" t="str">
        <f>IFERROR(VLOOKUP(B56&amp;C56,'Banco de Dados'!$I$3:$L$1006,3,FALSE),"")</f>
        <v/>
      </c>
      <c r="G56" s="13"/>
      <c r="I56" s="13"/>
    </row>
    <row r="57" spans="1:29" x14ac:dyDescent="0.25">
      <c r="A57" s="11" t="str">
        <f t="shared" si="0"/>
        <v/>
      </c>
      <c r="E57" s="11" t="str">
        <f>IFERROR(VLOOKUP(B57&amp;C57,'Banco de Dados'!$I$3:$L$1006,4,FALSE),"")</f>
        <v/>
      </c>
      <c r="F57" s="11" t="str">
        <f>IFERROR(VLOOKUP(B57&amp;C57,'Banco de Dados'!$I$3:$L$1006,3,FALSE),"")</f>
        <v/>
      </c>
      <c r="G57" s="13"/>
      <c r="I57" s="13"/>
    </row>
    <row r="58" spans="1:29" x14ac:dyDescent="0.25">
      <c r="A58" s="11" t="str">
        <f t="shared" si="0"/>
        <v/>
      </c>
      <c r="E58" s="11" t="str">
        <f>IFERROR(VLOOKUP(B58&amp;C58,'Banco de Dados'!$I$3:$L$1006,4,FALSE),"")</f>
        <v/>
      </c>
      <c r="F58" s="11" t="str">
        <f>IFERROR(VLOOKUP(B58&amp;C58,'Banco de Dados'!$I$3:$L$1006,3,FALSE),"")</f>
        <v/>
      </c>
      <c r="G58" s="13"/>
      <c r="I58" s="13"/>
    </row>
    <row r="59" spans="1:29" x14ac:dyDescent="0.25">
      <c r="A59" s="11" t="str">
        <f t="shared" si="0"/>
        <v/>
      </c>
      <c r="E59" s="11" t="str">
        <f>IFERROR(VLOOKUP(B59&amp;C59,'Banco de Dados'!$I$3:$L$1006,4,FALSE),"")</f>
        <v/>
      </c>
      <c r="F59" s="11" t="str">
        <f>IFERROR(VLOOKUP(B59&amp;C59,'Banco de Dados'!$I$3:$L$1006,3,FALSE),"")</f>
        <v/>
      </c>
      <c r="G59" s="13"/>
      <c r="I59" s="13"/>
    </row>
    <row r="60" spans="1:29" x14ac:dyDescent="0.25">
      <c r="A60" s="11" t="str">
        <f t="shared" si="0"/>
        <v/>
      </c>
      <c r="E60" s="11" t="str">
        <f>IFERROR(VLOOKUP(B60&amp;C60,'Banco de Dados'!$I$3:$L$1006,4,FALSE),"")</f>
        <v/>
      </c>
      <c r="F60" s="11" t="str">
        <f>IFERROR(VLOOKUP(B60&amp;C60,'Banco de Dados'!$I$3:$L$1006,3,FALSE),"")</f>
        <v/>
      </c>
      <c r="G60" s="13"/>
      <c r="I60" s="13"/>
    </row>
    <row r="61" spans="1:29" x14ac:dyDescent="0.25">
      <c r="A61" s="11" t="str">
        <f t="shared" si="0"/>
        <v/>
      </c>
      <c r="G61" s="13"/>
      <c r="I61" s="13"/>
    </row>
    <row r="62" spans="1:29" x14ac:dyDescent="0.25">
      <c r="E62" s="11" t="str">
        <f>IFERROR(VLOOKUP(B62&amp;C62,'Banco de Dados'!$I$3:$L$1006,4,FALSE),"")</f>
        <v/>
      </c>
      <c r="F62" s="11" t="str">
        <f>IFERROR(VLOOKUP(B62&amp;C62,'Banco de Dados'!$I$3:$L$1006,3,FALSE),"")</f>
        <v/>
      </c>
      <c r="G62" s="13"/>
      <c r="I62" s="13"/>
    </row>
    <row r="63" spans="1:29" x14ac:dyDescent="0.25">
      <c r="E63" s="11" t="str">
        <f>IFERROR(VLOOKUP(B63&amp;C63,'Banco de Dados'!$I$3:$L$1006,4,FALSE),"")</f>
        <v/>
      </c>
      <c r="F63" s="11" t="str">
        <f>IFERROR(VLOOKUP(B63&amp;C63,'Banco de Dados'!$I$3:$L$1006,3,FALSE),"")</f>
        <v/>
      </c>
      <c r="G63" s="13"/>
      <c r="I63" s="13"/>
    </row>
    <row r="64" spans="1:29" x14ac:dyDescent="0.25">
      <c r="E64" s="11" t="str">
        <f>IFERROR(VLOOKUP(B64&amp;C64,'Banco de Dados'!$I$3:$L$1006,4,FALSE),"")</f>
        <v/>
      </c>
      <c r="F64" s="11" t="str">
        <f>IFERROR(VLOOKUP(B64&amp;C64,'Banco de Dados'!$I$3:$L$1006,3,FALSE),"")</f>
        <v/>
      </c>
      <c r="G64" s="13"/>
      <c r="I64" s="13"/>
    </row>
    <row r="65" spans="5:9" x14ac:dyDescent="0.25">
      <c r="E65" s="11" t="str">
        <f>IFERROR(VLOOKUP(B65&amp;C65,'Banco de Dados'!$I$3:$L$1006,4,FALSE),"")</f>
        <v/>
      </c>
      <c r="F65" s="11" t="str">
        <f>IFERROR(VLOOKUP(B65&amp;C65,'Banco de Dados'!$I$3:$L$1006,3,FALSE),"")</f>
        <v/>
      </c>
      <c r="G65" s="13"/>
      <c r="I65" s="13"/>
    </row>
    <row r="66" spans="5:9" x14ac:dyDescent="0.25">
      <c r="E66" s="11" t="str">
        <f>IFERROR(VLOOKUP(B66&amp;C66,'Banco de Dados'!$I$3:$L$1006,4,FALSE),"")</f>
        <v/>
      </c>
      <c r="F66" s="11" t="str">
        <f>IFERROR(VLOOKUP(B66&amp;C66,'Banco de Dados'!$I$3:$L$1006,3,FALSE),"")</f>
        <v/>
      </c>
      <c r="G66" s="13"/>
      <c r="I66" s="13"/>
    </row>
    <row r="67" spans="5:9" x14ac:dyDescent="0.25">
      <c r="E67" s="11" t="str">
        <f>IFERROR(VLOOKUP(B67&amp;C67,'Banco de Dados'!$I$3:$L$1006,4,FALSE),"")</f>
        <v/>
      </c>
      <c r="F67" s="11" t="str">
        <f>IFERROR(VLOOKUP(B67&amp;C67,'Banco de Dados'!$I$3:$L$1006,3,FALSE),"")</f>
        <v/>
      </c>
      <c r="G67" s="13"/>
      <c r="I67" s="13"/>
    </row>
    <row r="68" spans="5:9" x14ac:dyDescent="0.25">
      <c r="E68" s="11" t="str">
        <f>IFERROR(VLOOKUP(B68&amp;C68,'Banco de Dados'!$I$3:$L$1006,4,FALSE),"")</f>
        <v/>
      </c>
      <c r="F68" s="11" t="str">
        <f>IFERROR(VLOOKUP(B68&amp;C68,'Banco de Dados'!$I$3:$L$1006,3,FALSE),"")</f>
        <v/>
      </c>
      <c r="G68" s="13"/>
      <c r="I68" s="13"/>
    </row>
    <row r="69" spans="5:9" x14ac:dyDescent="0.25">
      <c r="E69" s="11" t="str">
        <f>IFERROR(VLOOKUP(B69&amp;C69,'Banco de Dados'!$I$3:$L$1006,4,FALSE),"")</f>
        <v/>
      </c>
      <c r="F69" s="11" t="str">
        <f>IFERROR(VLOOKUP(B69&amp;C69,'Banco de Dados'!$I$3:$L$1006,3,FALSE),"")</f>
        <v/>
      </c>
      <c r="G69" s="13"/>
      <c r="I69" s="13"/>
    </row>
    <row r="70" spans="5:9" x14ac:dyDescent="0.25">
      <c r="E70" s="11" t="str">
        <f>IFERROR(VLOOKUP(B70&amp;C70,'Banco de Dados'!$I$3:$L$1006,4,FALSE),"")</f>
        <v/>
      </c>
      <c r="F70" s="11" t="str">
        <f>IFERROR(VLOOKUP(B70&amp;C70,'Banco de Dados'!$I$3:$L$1006,3,FALSE),"")</f>
        <v/>
      </c>
      <c r="G70" s="13"/>
      <c r="I70" s="13"/>
    </row>
    <row r="71" spans="5:9" x14ac:dyDescent="0.25">
      <c r="E71" s="11" t="str">
        <f>IFERROR(VLOOKUP(B71&amp;C71,'Banco de Dados'!$I$3:$L$1006,4,FALSE),"")</f>
        <v/>
      </c>
      <c r="F71" s="11" t="str">
        <f>IFERROR(VLOOKUP(B71&amp;C71,'Banco de Dados'!$I$3:$L$1006,3,FALSE),"")</f>
        <v/>
      </c>
      <c r="G71" s="13"/>
      <c r="I71" s="13"/>
    </row>
    <row r="72" spans="5:9" x14ac:dyDescent="0.25">
      <c r="E72" s="11" t="str">
        <f>IFERROR(VLOOKUP(B72&amp;C72,'Banco de Dados'!$I$3:$L$1006,4,FALSE),"")</f>
        <v/>
      </c>
      <c r="F72" s="11" t="str">
        <f>IFERROR(VLOOKUP(B72&amp;C72,'Banco de Dados'!$I$3:$L$1006,3,FALSE),"")</f>
        <v/>
      </c>
      <c r="G72" s="13"/>
      <c r="I72" s="13"/>
    </row>
    <row r="73" spans="5:9" x14ac:dyDescent="0.25">
      <c r="E73" s="11" t="str">
        <f>IFERROR(VLOOKUP(B73&amp;C73,'Banco de Dados'!$I$3:$L$1006,4,FALSE),"")</f>
        <v/>
      </c>
      <c r="F73" s="11" t="str">
        <f>IFERROR(VLOOKUP(B73&amp;C73,'Banco de Dados'!$I$3:$L$1006,3,FALSE),"")</f>
        <v/>
      </c>
      <c r="G73" s="13"/>
      <c r="I73" s="13"/>
    </row>
    <row r="74" spans="5:9" x14ac:dyDescent="0.25">
      <c r="E74" s="11" t="str">
        <f>IFERROR(VLOOKUP(B74&amp;C74,'Banco de Dados'!$I$3:$L$1006,4,FALSE),"")</f>
        <v/>
      </c>
      <c r="F74" s="11" t="str">
        <f>IFERROR(VLOOKUP(B74&amp;C74,'Banco de Dados'!$I$3:$L$1006,3,FALSE),"")</f>
        <v/>
      </c>
      <c r="G74" s="13"/>
      <c r="I74" s="13"/>
    </row>
    <row r="75" spans="5:9" x14ac:dyDescent="0.25">
      <c r="E75" s="11" t="str">
        <f>IFERROR(VLOOKUP(B75&amp;C75,'Banco de Dados'!$I$3:$L$1006,4,FALSE),"")</f>
        <v/>
      </c>
      <c r="F75" s="11" t="str">
        <f>IFERROR(VLOOKUP(B75&amp;C75,'Banco de Dados'!$I$3:$L$1006,3,FALSE),"")</f>
        <v/>
      </c>
      <c r="G75" s="13"/>
      <c r="I75" s="13"/>
    </row>
    <row r="76" spans="5:9" x14ac:dyDescent="0.25">
      <c r="E76" s="11" t="str">
        <f>IFERROR(VLOOKUP(B76&amp;C76,'Banco de Dados'!$I$3:$L$1006,4,FALSE),"")</f>
        <v/>
      </c>
      <c r="F76" s="11" t="str">
        <f>IFERROR(VLOOKUP(B76&amp;C76,'Banco de Dados'!$I$3:$L$1006,3,FALSE),"")</f>
        <v/>
      </c>
      <c r="G76" s="13"/>
      <c r="I76" s="13"/>
    </row>
    <row r="77" spans="5:9" x14ac:dyDescent="0.25">
      <c r="E77" s="11" t="str">
        <f>IFERROR(VLOOKUP(B77&amp;C77,'Banco de Dados'!$I$3:$L$1006,4,FALSE),"")</f>
        <v/>
      </c>
      <c r="F77" s="11" t="str">
        <f>IFERROR(VLOOKUP(B77&amp;C77,'Banco de Dados'!$I$3:$L$1006,3,FALSE),"")</f>
        <v/>
      </c>
      <c r="G77" s="13"/>
      <c r="I77" s="13"/>
    </row>
    <row r="78" spans="5:9" x14ac:dyDescent="0.25">
      <c r="E78" s="11" t="str">
        <f>IFERROR(VLOOKUP(B78&amp;C78,'Banco de Dados'!$I$3:$L$1006,4,FALSE),"")</f>
        <v/>
      </c>
      <c r="F78" s="11" t="str">
        <f>IFERROR(VLOOKUP(B78&amp;C78,'Banco de Dados'!$I$3:$L$1006,3,FALSE),"")</f>
        <v/>
      </c>
      <c r="G78" s="13"/>
      <c r="I78" s="13"/>
    </row>
    <row r="79" spans="5:9" x14ac:dyDescent="0.25">
      <c r="E79" s="11" t="str">
        <f>IFERROR(VLOOKUP(B79&amp;C79,'Banco de Dados'!$I$3:$L$1006,4,FALSE),"")</f>
        <v/>
      </c>
      <c r="F79" s="11" t="str">
        <f>IFERROR(VLOOKUP(B79&amp;C79,'Banco de Dados'!$I$3:$L$1006,3,FALSE),"")</f>
        <v/>
      </c>
      <c r="G79" s="13"/>
      <c r="I79" s="13"/>
    </row>
    <row r="80" spans="5:9" x14ac:dyDescent="0.25">
      <c r="E80" s="11" t="str">
        <f>IFERROR(VLOOKUP(B80&amp;C80,'Banco de Dados'!$I$3:$L$1006,4,FALSE),"")</f>
        <v/>
      </c>
      <c r="F80" s="11" t="str">
        <f>IFERROR(VLOOKUP(B80&amp;C80,'Banco de Dados'!$I$3:$L$1006,3,FALSE),"")</f>
        <v/>
      </c>
      <c r="G80" s="13"/>
      <c r="I80" s="13"/>
    </row>
    <row r="81" spans="5:9" x14ac:dyDescent="0.25">
      <c r="E81" s="11" t="str">
        <f>IFERROR(VLOOKUP(B81&amp;C81,'Banco de Dados'!$I$3:$L$1006,4,FALSE),"")</f>
        <v/>
      </c>
      <c r="F81" s="11" t="str">
        <f>IFERROR(VLOOKUP(B81&amp;C81,'Banco de Dados'!$I$3:$L$1006,3,FALSE),"")</f>
        <v/>
      </c>
      <c r="G81" s="13"/>
      <c r="I81" s="13"/>
    </row>
    <row r="82" spans="5:9" x14ac:dyDescent="0.25">
      <c r="E82" s="11" t="str">
        <f>IFERROR(VLOOKUP(B82&amp;C82,'Banco de Dados'!$I$3:$L$1006,4,FALSE),"")</f>
        <v/>
      </c>
      <c r="F82" s="11" t="str">
        <f>IFERROR(VLOOKUP(B82&amp;C82,'Banco de Dados'!$I$3:$L$1006,3,FALSE),"")</f>
        <v/>
      </c>
      <c r="G82" s="13"/>
      <c r="I82" s="13"/>
    </row>
    <row r="83" spans="5:9" x14ac:dyDescent="0.25">
      <c r="E83" s="11" t="str">
        <f>IFERROR(VLOOKUP(B83&amp;C83,'Banco de Dados'!$I$3:$L$1006,4,FALSE),"")</f>
        <v/>
      </c>
      <c r="F83" s="11" t="str">
        <f>IFERROR(VLOOKUP(B83&amp;C83,'Banco de Dados'!$I$3:$L$1006,3,FALSE),"")</f>
        <v/>
      </c>
      <c r="G83" s="13"/>
      <c r="I83" s="13"/>
    </row>
    <row r="84" spans="5:9" x14ac:dyDescent="0.25">
      <c r="E84" s="11" t="str">
        <f>IFERROR(VLOOKUP(B84&amp;C84,'Banco de Dados'!$I$3:$L$1006,4,FALSE),"")</f>
        <v/>
      </c>
      <c r="F84" s="11" t="str">
        <f>IFERROR(VLOOKUP(B84&amp;C84,'Banco de Dados'!$I$3:$L$1006,3,FALSE),"")</f>
        <v/>
      </c>
      <c r="G84" s="13"/>
      <c r="I84" s="13"/>
    </row>
    <row r="85" spans="5:9" x14ac:dyDescent="0.25">
      <c r="E85" s="11" t="str">
        <f>IFERROR(VLOOKUP(B85&amp;C85,'Banco de Dados'!$I$3:$L$1006,4,FALSE),"")</f>
        <v/>
      </c>
      <c r="F85" s="11" t="str">
        <f>IFERROR(VLOOKUP(B85&amp;C85,'Banco de Dados'!$I$3:$L$1006,3,FALSE),"")</f>
        <v/>
      </c>
      <c r="G85" s="13"/>
      <c r="I85" s="13"/>
    </row>
    <row r="86" spans="5:9" x14ac:dyDescent="0.25">
      <c r="E86" s="11" t="str">
        <f>IFERROR(VLOOKUP(B86&amp;C86,'Banco de Dados'!$I$3:$L$1006,4,FALSE),"")</f>
        <v/>
      </c>
      <c r="F86" s="11" t="str">
        <f>IFERROR(VLOOKUP(B86&amp;C86,'Banco de Dados'!$I$3:$L$1006,3,FALSE),"")</f>
        <v/>
      </c>
      <c r="G86" s="13"/>
      <c r="I86" s="13"/>
    </row>
    <row r="87" spans="5:9" x14ac:dyDescent="0.25">
      <c r="E87" s="11" t="str">
        <f>IFERROR(VLOOKUP(B87&amp;C87,'Banco de Dados'!$I$3:$L$1006,4,FALSE),"")</f>
        <v/>
      </c>
      <c r="F87" s="11" t="str">
        <f>IFERROR(VLOOKUP(B87&amp;C87,'Banco de Dados'!$I$3:$L$1006,3,FALSE),"")</f>
        <v/>
      </c>
      <c r="G87" s="13"/>
      <c r="I87" s="13"/>
    </row>
    <row r="88" spans="5:9" x14ac:dyDescent="0.25">
      <c r="E88" s="11" t="str">
        <f>IFERROR(VLOOKUP(B88&amp;C88,'Banco de Dados'!$I$3:$L$1006,4,FALSE),"")</f>
        <v/>
      </c>
      <c r="F88" s="11" t="str">
        <f>IFERROR(VLOOKUP(B88&amp;C88,'Banco de Dados'!$I$3:$L$1006,3,FALSE),"")</f>
        <v/>
      </c>
      <c r="G88" s="13"/>
      <c r="I88" s="13"/>
    </row>
    <row r="89" spans="5:9" x14ac:dyDescent="0.25">
      <c r="E89" s="11" t="str">
        <f>IFERROR(VLOOKUP(B89&amp;C89,'Banco de Dados'!$I$3:$L$1006,4,FALSE),"")</f>
        <v/>
      </c>
      <c r="F89" s="11" t="str">
        <f>IFERROR(VLOOKUP(B89&amp;C89,'Banco de Dados'!$I$3:$L$1006,3,FALSE),"")</f>
        <v/>
      </c>
      <c r="G89" s="13"/>
      <c r="I89" s="13"/>
    </row>
    <row r="90" spans="5:9" x14ac:dyDescent="0.25">
      <c r="E90" s="11" t="str">
        <f>IFERROR(VLOOKUP(B90&amp;C90,'Banco de Dados'!$I$3:$L$1006,4,FALSE),"")</f>
        <v/>
      </c>
      <c r="F90" s="11" t="str">
        <f>IFERROR(VLOOKUP(B90&amp;C90,'Banco de Dados'!$I$3:$L$1006,3,FALSE),"")</f>
        <v/>
      </c>
      <c r="G90" s="13"/>
      <c r="I90" s="13"/>
    </row>
    <row r="91" spans="5:9" x14ac:dyDescent="0.25">
      <c r="E91" s="11" t="str">
        <f>IFERROR(VLOOKUP(B91&amp;C91,'Banco de Dados'!$I$3:$L$1006,4,FALSE),"")</f>
        <v/>
      </c>
      <c r="F91" s="11" t="str">
        <f>IFERROR(VLOOKUP(B91&amp;C91,'Banco de Dados'!$I$3:$L$1006,3,FALSE),"")</f>
        <v/>
      </c>
    </row>
    <row r="92" spans="5:9" x14ac:dyDescent="0.25">
      <c r="E92" s="11" t="str">
        <f>IFERROR(VLOOKUP(B92&amp;C92,'Banco de Dados'!$I$3:$L$1006,4,FALSE),"")</f>
        <v/>
      </c>
      <c r="F92" s="11" t="str">
        <f>IFERROR(VLOOKUP(B92&amp;C92,'Banco de Dados'!$I$3:$L$1006,3,FALSE),"")</f>
        <v/>
      </c>
    </row>
    <row r="93" spans="5:9" x14ac:dyDescent="0.25">
      <c r="E93" s="11" t="str">
        <f>IFERROR(VLOOKUP(B93&amp;C93,'Banco de Dados'!$I$3:$L$1006,4,FALSE),"")</f>
        <v/>
      </c>
      <c r="F93" s="11" t="str">
        <f>IFERROR(VLOOKUP(B93&amp;C93,'Banco de Dados'!$I$3:$L$1006,3,FALSE),"")</f>
        <v/>
      </c>
    </row>
    <row r="94" spans="5:9" x14ac:dyDescent="0.25">
      <c r="E94" s="11" t="str">
        <f>IFERROR(VLOOKUP(B94&amp;C94,'Banco de Dados'!$I$3:$L$1006,4,FALSE),"")</f>
        <v/>
      </c>
      <c r="F94" s="11" t="str">
        <f>IFERROR(VLOOKUP(B94&amp;C94,'Banco de Dados'!$I$3:$L$1006,3,FALSE),"")</f>
        <v/>
      </c>
    </row>
    <row r="95" spans="5:9" x14ac:dyDescent="0.25">
      <c r="E95" s="11" t="str">
        <f>IFERROR(VLOOKUP(B95&amp;C95,'Banco de Dados'!$I$3:$L$1006,4,FALSE),"")</f>
        <v/>
      </c>
      <c r="F95" s="11" t="str">
        <f>IFERROR(VLOOKUP(B95&amp;C95,'Banco de Dados'!$I$3:$L$1006,3,FALSE),"")</f>
        <v/>
      </c>
    </row>
    <row r="96" spans="5:9" x14ac:dyDescent="0.25">
      <c r="E96" s="11" t="str">
        <f>IFERROR(VLOOKUP(B96&amp;C96,'Banco de Dados'!$I$3:$L$1006,4,FALSE),"")</f>
        <v/>
      </c>
      <c r="F96" s="11" t="str">
        <f>IFERROR(VLOOKUP(B96&amp;C96,'Banco de Dados'!$I$3:$L$1006,3,FALSE),"")</f>
        <v/>
      </c>
    </row>
    <row r="97" spans="5:6" x14ac:dyDescent="0.25">
      <c r="E97" s="11" t="str">
        <f>IFERROR(VLOOKUP(B97&amp;C97,'Banco de Dados'!$I$3:$L$1006,4,FALSE),"")</f>
        <v/>
      </c>
      <c r="F97" s="11" t="str">
        <f>IFERROR(VLOOKUP(B97&amp;C97,'Banco de Dados'!$I$3:$L$1006,3,FALSE),"")</f>
        <v/>
      </c>
    </row>
    <row r="98" spans="5:6" x14ac:dyDescent="0.25">
      <c r="E98" s="11" t="str">
        <f>IFERROR(VLOOKUP(B98&amp;C98,'Banco de Dados'!$I$3:$L$1006,4,FALSE),"")</f>
        <v/>
      </c>
      <c r="F98" s="11" t="str">
        <f>IFERROR(VLOOKUP(B98&amp;C98,'Banco de Dados'!$I$3:$L$1006,3,FALSE),"")</f>
        <v/>
      </c>
    </row>
    <row r="99" spans="5:6" x14ac:dyDescent="0.25">
      <c r="E99" s="11" t="str">
        <f>IFERROR(VLOOKUP(B99&amp;C99,'Banco de Dados'!$I$3:$L$1006,4,FALSE),"")</f>
        <v/>
      </c>
      <c r="F99" s="11" t="str">
        <f>IFERROR(VLOOKUP(B99&amp;C99,'Banco de Dados'!$I$3:$L$1006,3,FALSE),"")</f>
        <v/>
      </c>
    </row>
    <row r="100" spans="5:6" x14ac:dyDescent="0.25">
      <c r="E100" s="11" t="str">
        <f>IFERROR(VLOOKUP(B100&amp;C100,'Banco de Dados'!$I$3:$L$1006,4,FALSE),"")</f>
        <v/>
      </c>
      <c r="F100" s="11" t="str">
        <f>IFERROR(VLOOKUP(B100&amp;C100,'Banco de Dados'!$I$3:$L$1006,3,FALSE),"")</f>
        <v/>
      </c>
    </row>
    <row r="101" spans="5:6" x14ac:dyDescent="0.25">
      <c r="E101" s="11" t="str">
        <f>IFERROR(VLOOKUP(B101&amp;C101,'Banco de Dados'!$I$3:$L$1006,4,FALSE),"")</f>
        <v/>
      </c>
      <c r="F101" s="11" t="str">
        <f>IFERROR(VLOOKUP(B101&amp;C101,'Banco de Dados'!$I$3:$L$1006,3,FALSE),"")</f>
        <v/>
      </c>
    </row>
    <row r="102" spans="5:6" x14ac:dyDescent="0.25">
      <c r="E102" s="11" t="str">
        <f>IFERROR(VLOOKUP(B102&amp;C102,'Banco de Dados'!$I$3:$L$1006,4,FALSE),"")</f>
        <v/>
      </c>
      <c r="F102" s="11" t="str">
        <f>IFERROR(VLOOKUP(B102&amp;C102,'Banco de Dados'!$I$3:$L$1006,3,FALSE),"")</f>
        <v/>
      </c>
    </row>
    <row r="103" spans="5:6" x14ac:dyDescent="0.25">
      <c r="E103" s="11" t="str">
        <f>IFERROR(VLOOKUP(B103&amp;C103,'Banco de Dados'!$I$3:$L$1006,4,FALSE),"")</f>
        <v/>
      </c>
      <c r="F103" s="11" t="str">
        <f>IFERROR(VLOOKUP(B103&amp;C103,'Banco de Dados'!$I$3:$L$1006,3,FALSE),"")</f>
        <v/>
      </c>
    </row>
    <row r="104" spans="5:6" x14ac:dyDescent="0.25">
      <c r="E104" s="11" t="str">
        <f>IFERROR(VLOOKUP(B104&amp;C104,'Banco de Dados'!$I$3:$L$1006,4,FALSE),"")</f>
        <v/>
      </c>
      <c r="F104" s="11" t="str">
        <f>IFERROR(VLOOKUP(B104&amp;C104,'Banco de Dados'!$I$3:$L$1006,3,FALSE),"")</f>
        <v/>
      </c>
    </row>
    <row r="105" spans="5:6" x14ac:dyDescent="0.25">
      <c r="E105" s="11" t="str">
        <f>IFERROR(VLOOKUP(B105&amp;C105,'Banco de Dados'!$I$3:$L$1006,4,FALSE),"")</f>
        <v/>
      </c>
      <c r="F105" s="11" t="str">
        <f>IFERROR(VLOOKUP(B105&amp;C105,'Banco de Dados'!$I$3:$L$1006,3,FALSE),"")</f>
        <v/>
      </c>
    </row>
    <row r="106" spans="5:6" x14ac:dyDescent="0.25">
      <c r="E106" s="11" t="str">
        <f>IFERROR(VLOOKUP(B106&amp;C106,'Banco de Dados'!$I$3:$L$1006,4,FALSE),"")</f>
        <v/>
      </c>
      <c r="F106" s="11" t="str">
        <f>IFERROR(VLOOKUP(B106&amp;C106,'Banco de Dados'!$I$3:$L$1006,3,FALSE),"")</f>
        <v/>
      </c>
    </row>
    <row r="107" spans="5:6" x14ac:dyDescent="0.25">
      <c r="E107" s="11" t="str">
        <f>IFERROR(VLOOKUP(B107&amp;C107,'Banco de Dados'!$I$3:$L$1006,4,FALSE),"")</f>
        <v/>
      </c>
      <c r="F107" s="11" t="str">
        <f>IFERROR(VLOOKUP(B107&amp;C107,'Banco de Dados'!$I$3:$L$1006,3,FALSE),"")</f>
        <v/>
      </c>
    </row>
    <row r="108" spans="5:6" x14ac:dyDescent="0.25">
      <c r="E108" s="11" t="str">
        <f>IFERROR(VLOOKUP(B108&amp;C108,'Banco de Dados'!$I$3:$L$1006,4,FALSE),"")</f>
        <v/>
      </c>
      <c r="F108" s="11" t="str">
        <f>IFERROR(VLOOKUP(B108&amp;C108,'Banco de Dados'!$I$3:$L$1006,3,FALSE),"")</f>
        <v/>
      </c>
    </row>
    <row r="109" spans="5:6" x14ac:dyDescent="0.25">
      <c r="E109" s="11" t="str">
        <f>IFERROR(VLOOKUP(B109&amp;C109,'Banco de Dados'!$I$3:$L$1006,4,FALSE),"")</f>
        <v/>
      </c>
      <c r="F109" s="11" t="str">
        <f>IFERROR(VLOOKUP(B109&amp;C109,'Banco de Dados'!$I$3:$L$1006,3,FALSE),"")</f>
        <v/>
      </c>
    </row>
    <row r="110" spans="5:6" x14ac:dyDescent="0.25">
      <c r="E110" s="11" t="str">
        <f>IFERROR(VLOOKUP(B110&amp;C110,'Banco de Dados'!$I$3:$L$1006,4,FALSE),"")</f>
        <v/>
      </c>
      <c r="F110" s="11" t="str">
        <f>IFERROR(VLOOKUP(B110&amp;C110,'Banco de Dados'!$I$3:$L$1006,3,FALSE),"")</f>
        <v/>
      </c>
    </row>
    <row r="111" spans="5:6" x14ac:dyDescent="0.25">
      <c r="E111" s="11" t="str">
        <f>IFERROR(VLOOKUP(B111&amp;C111,'Banco de Dados'!$I$3:$L$1006,4,FALSE),"")</f>
        <v/>
      </c>
      <c r="F111" s="11" t="str">
        <f>IFERROR(VLOOKUP(B111&amp;C111,'Banco de Dados'!$I$3:$L$1006,3,FALSE),"")</f>
        <v/>
      </c>
    </row>
    <row r="112" spans="5:6" x14ac:dyDescent="0.25">
      <c r="E112" s="11" t="str">
        <f>IFERROR(VLOOKUP(B112&amp;C112,'Banco de Dados'!$I$3:$L$1006,4,FALSE),"")</f>
        <v/>
      </c>
      <c r="F112" s="11" t="str">
        <f>IFERROR(VLOOKUP(B112&amp;C112,'Banco de Dados'!$I$3:$L$1006,3,FALSE),"")</f>
        <v/>
      </c>
    </row>
    <row r="113" spans="5:6" x14ac:dyDescent="0.25">
      <c r="E113" s="11" t="str">
        <f>IFERROR(VLOOKUP(B113&amp;C113,'Banco de Dados'!$I$3:$L$1006,4,FALSE),"")</f>
        <v/>
      </c>
      <c r="F113" s="11" t="str">
        <f>IFERROR(VLOOKUP(B113&amp;C113,'Banco de Dados'!$I$3:$L$1006,3,FALSE),"")</f>
        <v/>
      </c>
    </row>
    <row r="114" spans="5:6" x14ac:dyDescent="0.25">
      <c r="E114" s="11" t="str">
        <f>IFERROR(VLOOKUP(B114&amp;C114,'Banco de Dados'!$I$3:$L$1006,4,FALSE),"")</f>
        <v/>
      </c>
      <c r="F114" s="11" t="str">
        <f>IFERROR(VLOOKUP(B114&amp;C114,'Banco de Dados'!$I$3:$L$1006,3,FALSE),"")</f>
        <v/>
      </c>
    </row>
    <row r="115" spans="5:6" x14ac:dyDescent="0.25">
      <c r="E115" s="11" t="str">
        <f>IFERROR(VLOOKUP(B115&amp;C115,'Banco de Dados'!$I$3:$L$1006,4,FALSE),"")</f>
        <v/>
      </c>
      <c r="F115" s="11" t="str">
        <f>IFERROR(VLOOKUP(B115&amp;C115,'Banco de Dados'!$I$3:$L$1006,3,FALSE),"")</f>
        <v/>
      </c>
    </row>
    <row r="116" spans="5:6" x14ac:dyDescent="0.25">
      <c r="E116" s="11" t="str">
        <f>IFERROR(VLOOKUP(B116&amp;C116,'Banco de Dados'!$I$3:$L$1006,4,FALSE),"")</f>
        <v/>
      </c>
      <c r="F116" s="11" t="str">
        <f>IFERROR(VLOOKUP(B116&amp;C116,'Banco de Dados'!$I$3:$L$1006,3,FALSE),"")</f>
        <v/>
      </c>
    </row>
    <row r="117" spans="5:6" x14ac:dyDescent="0.25">
      <c r="E117" s="11" t="str">
        <f>IFERROR(VLOOKUP(B117&amp;C117,'Banco de Dados'!$I$3:$L$1006,4,FALSE),"")</f>
        <v/>
      </c>
      <c r="F117" s="11" t="str">
        <f>IFERROR(VLOOKUP(B117&amp;C117,'Banco de Dados'!$I$3:$L$1006,3,FALSE),"")</f>
        <v/>
      </c>
    </row>
    <row r="118" spans="5:6" x14ac:dyDescent="0.25">
      <c r="E118" s="11" t="str">
        <f>IFERROR(VLOOKUP(B118&amp;C118,'Banco de Dados'!$I$3:$L$1006,4,FALSE),"")</f>
        <v/>
      </c>
      <c r="F118" s="11" t="str">
        <f>IFERROR(VLOOKUP(B118&amp;C118,'Banco de Dados'!$I$3:$L$1006,3,FALSE),"")</f>
        <v/>
      </c>
    </row>
    <row r="119" spans="5:6" x14ac:dyDescent="0.25">
      <c r="E119" s="11" t="str">
        <f>IFERROR(VLOOKUP(B119&amp;C119,'Banco de Dados'!$I$3:$L$1006,4,FALSE),"")</f>
        <v/>
      </c>
      <c r="F119" s="11" t="str">
        <f>IFERROR(VLOOKUP(B119&amp;C119,'Banco de Dados'!$I$3:$L$1006,3,FALSE),"")</f>
        <v/>
      </c>
    </row>
    <row r="120" spans="5:6" x14ac:dyDescent="0.25">
      <c r="E120" s="11" t="str">
        <f>IFERROR(VLOOKUP(B120&amp;C120,'Banco de Dados'!$I$3:$L$1006,4,FALSE),"")</f>
        <v/>
      </c>
      <c r="F120" s="11" t="str">
        <f>IFERROR(VLOOKUP(B120&amp;C120,'Banco de Dados'!$I$3:$L$1006,3,FALSE),"")</f>
        <v/>
      </c>
    </row>
    <row r="121" spans="5:6" x14ac:dyDescent="0.25">
      <c r="E121" s="11" t="str">
        <f>IFERROR(VLOOKUP(B121&amp;C121,'Banco de Dados'!$I$3:$L$1006,4,FALSE),"")</f>
        <v/>
      </c>
      <c r="F121" s="11" t="str">
        <f>IFERROR(VLOOKUP(B121&amp;C121,'Banco de Dados'!$I$3:$L$1006,3,FALSE),"")</f>
        <v/>
      </c>
    </row>
    <row r="122" spans="5:6" x14ac:dyDescent="0.25">
      <c r="E122" s="11" t="str">
        <f>IFERROR(VLOOKUP(B122&amp;C122,'Banco de Dados'!$I$3:$L$1006,4,FALSE),"")</f>
        <v/>
      </c>
      <c r="F122" s="11" t="str">
        <f>IFERROR(VLOOKUP(B122&amp;C122,'Banco de Dados'!$I$3:$L$1006,3,FALSE),"")</f>
        <v/>
      </c>
    </row>
    <row r="123" spans="5:6" x14ac:dyDescent="0.25">
      <c r="E123" s="11" t="str">
        <f>IFERROR(VLOOKUP(B123&amp;C123,'Banco de Dados'!$I$3:$L$1006,4,FALSE),"")</f>
        <v/>
      </c>
      <c r="F123" s="11" t="str">
        <f>IFERROR(VLOOKUP(B123&amp;C123,'Banco de Dados'!$I$3:$L$1006,3,FALSE),"")</f>
        <v/>
      </c>
    </row>
    <row r="124" spans="5:6" x14ac:dyDescent="0.25">
      <c r="E124" s="11" t="str">
        <f>IFERROR(VLOOKUP(B124&amp;C124,'Banco de Dados'!$I$3:$L$1006,4,FALSE),"")</f>
        <v/>
      </c>
      <c r="F124" s="11" t="str">
        <f>IFERROR(VLOOKUP(B124&amp;C124,'Banco de Dados'!$I$3:$L$1006,3,FALSE),"")</f>
        <v/>
      </c>
    </row>
    <row r="125" spans="5:6" x14ac:dyDescent="0.25">
      <c r="E125" s="11" t="str">
        <f>IFERROR(VLOOKUP(B125&amp;C125,'Banco de Dados'!$I$3:$L$1006,4,FALSE),"")</f>
        <v/>
      </c>
      <c r="F125" s="11" t="str">
        <f>IFERROR(VLOOKUP(B125&amp;C125,'Banco de Dados'!$I$3:$L$1006,3,FALSE),"")</f>
        <v/>
      </c>
    </row>
    <row r="126" spans="5:6" x14ac:dyDescent="0.25">
      <c r="E126" s="11" t="str">
        <f>IFERROR(VLOOKUP(B126&amp;C126,'Banco de Dados'!$I$3:$L$1006,4,FALSE),"")</f>
        <v/>
      </c>
      <c r="F126" s="11" t="str">
        <f>IFERROR(VLOOKUP(B126&amp;C126,'Banco de Dados'!$I$3:$L$1006,3,FALSE),"")</f>
        <v/>
      </c>
    </row>
    <row r="127" spans="5:6" x14ac:dyDescent="0.25">
      <c r="E127" s="11" t="str">
        <f>IFERROR(VLOOKUP(B127&amp;C127,'Banco de Dados'!$I$3:$L$1006,4,FALSE),"")</f>
        <v/>
      </c>
      <c r="F127" s="11" t="str">
        <f>IFERROR(VLOOKUP(B127&amp;C127,'Banco de Dados'!$I$3:$L$1006,3,FALSE),"")</f>
        <v/>
      </c>
    </row>
    <row r="128" spans="5:6" x14ac:dyDescent="0.25">
      <c r="E128" s="11" t="str">
        <f>IFERROR(VLOOKUP(B128&amp;C128,'Banco de Dados'!$I$3:$L$1006,4,FALSE),"")</f>
        <v/>
      </c>
      <c r="F128" s="11" t="str">
        <f>IFERROR(VLOOKUP(B128&amp;C128,'Banco de Dados'!$I$3:$L$1006,3,FALSE),"")</f>
        <v/>
      </c>
    </row>
    <row r="129" spans="5:6" x14ac:dyDescent="0.25">
      <c r="E129" s="11" t="str">
        <f>IFERROR(VLOOKUP(B129&amp;C129,'Banco de Dados'!$I$3:$L$1006,4,FALSE),"")</f>
        <v/>
      </c>
      <c r="F129" s="11" t="str">
        <f>IFERROR(VLOOKUP(B129&amp;C129,'Banco de Dados'!$I$3:$L$1006,3,FALSE),"")</f>
        <v/>
      </c>
    </row>
    <row r="130" spans="5:6" x14ac:dyDescent="0.25">
      <c r="E130" s="11" t="str">
        <f>IFERROR(VLOOKUP(B130&amp;C130,'Banco de Dados'!$I$3:$L$1006,4,FALSE),"")</f>
        <v/>
      </c>
      <c r="F130" s="11" t="str">
        <f>IFERROR(VLOOKUP(B130&amp;C130,'Banco de Dados'!$I$3:$L$1006,3,FALSE),"")</f>
        <v/>
      </c>
    </row>
    <row r="131" spans="5:6" x14ac:dyDescent="0.25">
      <c r="E131" s="11" t="str">
        <f>IFERROR(VLOOKUP(B131&amp;C131,'Banco de Dados'!$I$3:$L$1006,4,FALSE),"")</f>
        <v/>
      </c>
      <c r="F131" s="11" t="str">
        <f>IFERROR(VLOOKUP(B131&amp;C131,'Banco de Dados'!$I$3:$L$1006,3,FALSE),"")</f>
        <v/>
      </c>
    </row>
    <row r="132" spans="5:6" x14ac:dyDescent="0.25">
      <c r="E132" s="11" t="str">
        <f>IFERROR(VLOOKUP(B132&amp;C132,'Banco de Dados'!$I$3:$L$1006,4,FALSE),"")</f>
        <v/>
      </c>
      <c r="F132" s="11" t="str">
        <f>IFERROR(VLOOKUP(B132&amp;C132,'Banco de Dados'!$I$3:$L$1006,3,FALSE),"")</f>
        <v/>
      </c>
    </row>
    <row r="133" spans="5:6" x14ac:dyDescent="0.25">
      <c r="E133" s="11" t="str">
        <f>IFERROR(VLOOKUP(B133&amp;C133,'Banco de Dados'!$I$3:$L$1006,4,FALSE),"")</f>
        <v/>
      </c>
      <c r="F133" s="11" t="str">
        <f>IFERROR(VLOOKUP(B133&amp;C133,'Banco de Dados'!$I$3:$L$1006,3,FALSE),"")</f>
        <v/>
      </c>
    </row>
    <row r="134" spans="5:6" x14ac:dyDescent="0.25">
      <c r="E134" s="11" t="str">
        <f>IFERROR(VLOOKUP(B134&amp;C134,'Banco de Dados'!$I$3:$L$1006,4,FALSE),"")</f>
        <v/>
      </c>
      <c r="F134" s="11" t="str">
        <f>IFERROR(VLOOKUP(B134&amp;C134,'Banco de Dados'!$I$3:$L$1006,3,FALSE),"")</f>
        <v/>
      </c>
    </row>
    <row r="135" spans="5:6" x14ac:dyDescent="0.25">
      <c r="E135" s="11" t="str">
        <f>IFERROR(VLOOKUP(B135&amp;C135,'Banco de Dados'!$I$3:$L$1006,4,FALSE),"")</f>
        <v/>
      </c>
      <c r="F135" s="11" t="str">
        <f>IFERROR(VLOOKUP(B135&amp;C135,'Banco de Dados'!$I$3:$L$1006,3,FALSE),"")</f>
        <v/>
      </c>
    </row>
    <row r="136" spans="5:6" x14ac:dyDescent="0.25">
      <c r="E136" s="11" t="str">
        <f>IFERROR(VLOOKUP(B136&amp;C136,'Banco de Dados'!$I$3:$L$1006,4,FALSE),"")</f>
        <v/>
      </c>
      <c r="F136" s="11" t="str">
        <f>IFERROR(VLOOKUP(B136&amp;C136,'Banco de Dados'!$I$3:$L$1006,3,FALSE),"")</f>
        <v/>
      </c>
    </row>
    <row r="137" spans="5:6" x14ac:dyDescent="0.25">
      <c r="E137" s="11" t="str">
        <f>IFERROR(VLOOKUP(B137&amp;C137,'Banco de Dados'!$I$3:$L$1006,4,FALSE),"")</f>
        <v/>
      </c>
      <c r="F137" s="11" t="str">
        <f>IFERROR(VLOOKUP(B137&amp;C137,'Banco de Dados'!$I$3:$L$1006,3,FALSE),"")</f>
        <v/>
      </c>
    </row>
    <row r="138" spans="5:6" x14ac:dyDescent="0.25">
      <c r="E138" s="11" t="str">
        <f>IFERROR(VLOOKUP(B138&amp;C138,'Banco de Dados'!$I$3:$L$1006,4,FALSE),"")</f>
        <v/>
      </c>
      <c r="F138" s="11" t="str">
        <f>IFERROR(VLOOKUP(B138&amp;C138,'Banco de Dados'!$I$3:$L$1006,3,FALSE),"")</f>
        <v/>
      </c>
    </row>
    <row r="139" spans="5:6" x14ac:dyDescent="0.25">
      <c r="E139" s="11" t="str">
        <f>IFERROR(VLOOKUP(B139&amp;C139,'Banco de Dados'!$I$3:$L$1006,4,FALSE),"")</f>
        <v/>
      </c>
      <c r="F139" s="11" t="str">
        <f>IFERROR(VLOOKUP(B139&amp;C139,'Banco de Dados'!$I$3:$L$1006,3,FALSE),"")</f>
        <v/>
      </c>
    </row>
    <row r="140" spans="5:6" x14ac:dyDescent="0.25">
      <c r="E140" s="11" t="str">
        <f>IFERROR(VLOOKUP(B140&amp;C140,'Banco de Dados'!$I$3:$L$1006,4,FALSE),"")</f>
        <v/>
      </c>
      <c r="F140" s="11" t="str">
        <f>IFERROR(VLOOKUP(B140&amp;C140,'Banco de Dados'!$I$3:$L$1006,3,FALSE),"")</f>
        <v/>
      </c>
    </row>
    <row r="141" spans="5:6" x14ac:dyDescent="0.25">
      <c r="E141" s="11" t="str">
        <f>IFERROR(VLOOKUP(B141&amp;C141,'Banco de Dados'!$I$3:$L$1006,4,FALSE),"")</f>
        <v/>
      </c>
      <c r="F141" s="11" t="str">
        <f>IFERROR(VLOOKUP(B141&amp;C141,'Banco de Dados'!$I$3:$L$1006,3,FALSE),"")</f>
        <v/>
      </c>
    </row>
    <row r="142" spans="5:6" x14ac:dyDescent="0.25">
      <c r="E142" s="11" t="str">
        <f>IFERROR(VLOOKUP(B142&amp;C142,'Banco de Dados'!$I$3:$L$1006,4,FALSE),"")</f>
        <v/>
      </c>
      <c r="F142" s="11" t="str">
        <f>IFERROR(VLOOKUP(B142&amp;C142,'Banco de Dados'!$I$3:$L$1006,3,FALSE),"")</f>
        <v/>
      </c>
    </row>
    <row r="143" spans="5:6" x14ac:dyDescent="0.25">
      <c r="E143" s="11" t="str">
        <f>IFERROR(VLOOKUP(B143&amp;C143,'Banco de Dados'!$I$3:$L$1006,4,FALSE),"")</f>
        <v/>
      </c>
      <c r="F143" s="11" t="str">
        <f>IFERROR(VLOOKUP(B143&amp;C143,'Banco de Dados'!$I$3:$L$1006,3,FALSE),"")</f>
        <v/>
      </c>
    </row>
    <row r="144" spans="5:6" x14ac:dyDescent="0.25">
      <c r="E144" s="11" t="str">
        <f>IFERROR(VLOOKUP(B144&amp;C144,'Banco de Dados'!$I$3:$L$1006,4,FALSE),"")</f>
        <v/>
      </c>
      <c r="F144" s="11" t="str">
        <f>IFERROR(VLOOKUP(B144&amp;C144,'Banco de Dados'!$I$3:$L$1006,3,FALSE),"")</f>
        <v/>
      </c>
    </row>
    <row r="145" spans="5:6" x14ac:dyDescent="0.25">
      <c r="E145" s="11" t="str">
        <f>IFERROR(VLOOKUP(B145&amp;C145,'Banco de Dados'!$I$3:$L$1006,4,FALSE),"")</f>
        <v/>
      </c>
      <c r="F145" s="11" t="str">
        <f>IFERROR(VLOOKUP(B145&amp;C145,'Banco de Dados'!$I$3:$L$1006,3,FALSE),"")</f>
        <v/>
      </c>
    </row>
    <row r="146" spans="5:6" x14ac:dyDescent="0.25">
      <c r="E146" s="11" t="str">
        <f>IFERROR(VLOOKUP(B146&amp;C146,'Banco de Dados'!$I$3:$L$1006,4,FALSE),"")</f>
        <v/>
      </c>
      <c r="F146" s="11" t="str">
        <f>IFERROR(VLOOKUP(B146&amp;C146,'Banco de Dados'!$I$3:$L$1006,3,FALSE),"")</f>
        <v/>
      </c>
    </row>
    <row r="147" spans="5:6" x14ac:dyDescent="0.25">
      <c r="E147" s="11" t="str">
        <f>IFERROR(VLOOKUP(B147&amp;C147,'Banco de Dados'!$I$3:$L$1006,4,FALSE),"")</f>
        <v/>
      </c>
      <c r="F147" s="11" t="str">
        <f>IFERROR(VLOOKUP(B147&amp;C147,'Banco de Dados'!$I$3:$L$1006,3,FALSE),"")</f>
        <v/>
      </c>
    </row>
    <row r="148" spans="5:6" x14ac:dyDescent="0.25">
      <c r="E148" s="11" t="str">
        <f>IFERROR(VLOOKUP(B148&amp;C148,'Banco de Dados'!$I$3:$L$1006,4,FALSE),"")</f>
        <v/>
      </c>
      <c r="F148" s="11" t="str">
        <f>IFERROR(VLOOKUP(B148&amp;C148,'Banco de Dados'!$I$3:$L$1006,3,FALSE),"")</f>
        <v/>
      </c>
    </row>
    <row r="149" spans="5:6" x14ac:dyDescent="0.25">
      <c r="E149" s="11" t="str">
        <f>IFERROR(VLOOKUP(B149&amp;C149,'Banco de Dados'!$I$3:$L$1006,4,FALSE),"")</f>
        <v/>
      </c>
      <c r="F149" s="11" t="str">
        <f>IFERROR(VLOOKUP(B149&amp;C149,'Banco de Dados'!$I$3:$L$1006,3,FALSE),"")</f>
        <v/>
      </c>
    </row>
    <row r="150" spans="5:6" x14ac:dyDescent="0.25">
      <c r="E150" s="11" t="str">
        <f>IFERROR(VLOOKUP(B150&amp;C150,'Banco de Dados'!$I$3:$L$1006,4,FALSE),"")</f>
        <v/>
      </c>
      <c r="F150" s="11" t="str">
        <f>IFERROR(VLOOKUP(B150&amp;C150,'Banco de Dados'!$I$3:$L$1006,3,FALSE),"")</f>
        <v/>
      </c>
    </row>
    <row r="151" spans="5:6" x14ac:dyDescent="0.25">
      <c r="E151" s="11" t="str">
        <f>IFERROR(VLOOKUP(B151&amp;C151,'Banco de Dados'!$I$3:$L$1006,4,FALSE),"")</f>
        <v/>
      </c>
      <c r="F151" s="11" t="str">
        <f>IFERROR(VLOOKUP(B151&amp;C151,'Banco de Dados'!$I$3:$L$1006,3,FALSE),"")</f>
        <v/>
      </c>
    </row>
    <row r="152" spans="5:6" x14ac:dyDescent="0.25">
      <c r="E152" s="11" t="str">
        <f>IFERROR(VLOOKUP(B152&amp;C152,'Banco de Dados'!$I$3:$L$1006,4,FALSE),"")</f>
        <v/>
      </c>
      <c r="F152" s="11" t="str">
        <f>IFERROR(VLOOKUP(B152&amp;C152,'Banco de Dados'!$I$3:$L$1006,3,FALSE),"")</f>
        <v/>
      </c>
    </row>
    <row r="153" spans="5:6" x14ac:dyDescent="0.25">
      <c r="E153" s="11" t="str">
        <f>IFERROR(VLOOKUP(B153&amp;C153,'Banco de Dados'!$I$3:$L$1006,4,FALSE),"")</f>
        <v/>
      </c>
      <c r="F153" s="11" t="str">
        <f>IFERROR(VLOOKUP(B153&amp;C153,'Banco de Dados'!$I$3:$L$1006,3,FALSE),"")</f>
        <v/>
      </c>
    </row>
    <row r="154" spans="5:6" x14ac:dyDescent="0.25">
      <c r="E154" s="11" t="str">
        <f>IFERROR(VLOOKUP(B154&amp;C154,'Banco de Dados'!$I$3:$L$1006,4,FALSE),"")</f>
        <v/>
      </c>
      <c r="F154" s="11" t="str">
        <f>IFERROR(VLOOKUP(B154&amp;C154,'Banco de Dados'!$I$3:$L$1006,3,FALSE),"")</f>
        <v/>
      </c>
    </row>
    <row r="155" spans="5:6" x14ac:dyDescent="0.25">
      <c r="E155" s="11" t="str">
        <f>IFERROR(VLOOKUP(B155&amp;C155,'Banco de Dados'!$I$3:$L$1006,4,FALSE),"")</f>
        <v/>
      </c>
      <c r="F155" s="11" t="str">
        <f>IFERROR(VLOOKUP(B155&amp;C155,'Banco de Dados'!$I$3:$L$1006,3,FALSE),"")</f>
        <v/>
      </c>
    </row>
    <row r="156" spans="5:6" x14ac:dyDescent="0.25">
      <c r="E156" s="11" t="str">
        <f>IFERROR(VLOOKUP(B156&amp;C156,'Banco de Dados'!$I$3:$L$1006,4,FALSE),"")</f>
        <v/>
      </c>
      <c r="F156" s="11" t="str">
        <f>IFERROR(VLOOKUP(B156&amp;C156,'Banco de Dados'!$I$3:$L$1006,3,FALSE),"")</f>
        <v/>
      </c>
    </row>
    <row r="157" spans="5:6" x14ac:dyDescent="0.25">
      <c r="E157" s="11" t="str">
        <f>IFERROR(VLOOKUP(B157&amp;C157,'Banco de Dados'!$I$3:$L$1006,4,FALSE),"")</f>
        <v/>
      </c>
      <c r="F157" s="11" t="str">
        <f>IFERROR(VLOOKUP(B157&amp;C157,'Banco de Dados'!$I$3:$L$1006,3,FALSE),"")</f>
        <v/>
      </c>
    </row>
    <row r="158" spans="5:6" x14ac:dyDescent="0.25">
      <c r="E158" s="11" t="str">
        <f>IFERROR(VLOOKUP(B158&amp;C158,'Banco de Dados'!$I$3:$L$1006,4,FALSE),"")</f>
        <v/>
      </c>
      <c r="F158" s="11" t="str">
        <f>IFERROR(VLOOKUP(B158&amp;C158,'Banco de Dados'!$I$3:$L$1006,3,FALSE),"")</f>
        <v/>
      </c>
    </row>
    <row r="159" spans="5:6" x14ac:dyDescent="0.25">
      <c r="E159" s="11" t="str">
        <f>IFERROR(VLOOKUP(B159&amp;C159,'Banco de Dados'!$I$3:$L$1006,4,FALSE),"")</f>
        <v/>
      </c>
      <c r="F159" s="11" t="str">
        <f>IFERROR(VLOOKUP(B159&amp;C159,'Banco de Dados'!$I$3:$L$1006,3,FALSE),"")</f>
        <v/>
      </c>
    </row>
    <row r="160" spans="5:6" x14ac:dyDescent="0.25">
      <c r="E160" s="11" t="str">
        <f>IFERROR(VLOOKUP(B160&amp;C160,'Banco de Dados'!$I$3:$L$1006,4,FALSE),"")</f>
        <v/>
      </c>
      <c r="F160" s="11" t="str">
        <f>IFERROR(VLOOKUP(B160&amp;C160,'Banco de Dados'!$I$3:$L$1006,3,FALSE),"")</f>
        <v/>
      </c>
    </row>
    <row r="161" spans="5:6" x14ac:dyDescent="0.25">
      <c r="E161" s="11" t="str">
        <f>IFERROR(VLOOKUP(B161&amp;C161,'Banco de Dados'!$I$3:$L$1006,4,FALSE),"")</f>
        <v/>
      </c>
      <c r="F161" s="11" t="str">
        <f>IFERROR(VLOOKUP(B161&amp;C161,'Banco de Dados'!$I$3:$L$1006,3,FALSE),"")</f>
        <v/>
      </c>
    </row>
    <row r="162" spans="5:6" x14ac:dyDescent="0.25">
      <c r="E162" s="11" t="str">
        <f>IFERROR(VLOOKUP(B162&amp;C162,'Banco de Dados'!$I$3:$L$1006,4,FALSE),"")</f>
        <v/>
      </c>
      <c r="F162" s="11" t="str">
        <f>IFERROR(VLOOKUP(B162&amp;C162,'Banco de Dados'!$I$3:$L$1006,3,FALSE),"")</f>
        <v/>
      </c>
    </row>
    <row r="163" spans="5:6" x14ac:dyDescent="0.25">
      <c r="E163" s="11" t="str">
        <f>IFERROR(VLOOKUP(B163&amp;C163,'Banco de Dados'!$I$3:$L$1006,4,FALSE),"")</f>
        <v/>
      </c>
      <c r="F163" s="11" t="str">
        <f>IFERROR(VLOOKUP(B163&amp;C163,'Banco de Dados'!$I$3:$L$1006,3,FALSE),"")</f>
        <v/>
      </c>
    </row>
    <row r="164" spans="5:6" x14ac:dyDescent="0.25">
      <c r="E164" s="11" t="str">
        <f>IFERROR(VLOOKUP(B164&amp;C164,'Banco de Dados'!$I$3:$L$1006,4,FALSE),"")</f>
        <v/>
      </c>
      <c r="F164" s="11" t="str">
        <f>IFERROR(VLOOKUP(B164&amp;C164,'Banco de Dados'!$I$3:$L$1006,3,FALSE),"")</f>
        <v/>
      </c>
    </row>
    <row r="165" spans="5:6" x14ac:dyDescent="0.25">
      <c r="E165" s="11" t="str">
        <f>IFERROR(VLOOKUP(B165&amp;C165,'Banco de Dados'!$I$3:$L$1006,4,FALSE),"")</f>
        <v/>
      </c>
      <c r="F165" s="11" t="str">
        <f>IFERROR(VLOOKUP(B165&amp;C165,'Banco de Dados'!$I$3:$L$1006,3,FALSE),"")</f>
        <v/>
      </c>
    </row>
    <row r="166" spans="5:6" x14ac:dyDescent="0.25">
      <c r="E166" s="11" t="str">
        <f>IFERROR(VLOOKUP(B166&amp;C166,'Banco de Dados'!$I$3:$L$1006,4,FALSE),"")</f>
        <v/>
      </c>
      <c r="F166" s="11" t="str">
        <f>IFERROR(VLOOKUP(B166&amp;C166,'Banco de Dados'!$I$3:$L$1006,3,FALSE),"")</f>
        <v/>
      </c>
    </row>
    <row r="167" spans="5:6" x14ac:dyDescent="0.25">
      <c r="E167" s="11" t="str">
        <f>IFERROR(VLOOKUP(B167&amp;C167,'Banco de Dados'!$I$3:$L$1006,4,FALSE),"")</f>
        <v/>
      </c>
      <c r="F167" s="11" t="str">
        <f>IFERROR(VLOOKUP(B167&amp;C167,'Banco de Dados'!$I$3:$L$1006,3,FALSE),"")</f>
        <v/>
      </c>
    </row>
    <row r="168" spans="5:6" x14ac:dyDescent="0.25">
      <c r="E168" s="11" t="str">
        <f>IFERROR(VLOOKUP(B168&amp;C168,'Banco de Dados'!$I$3:$L$1006,4,FALSE),"")</f>
        <v/>
      </c>
      <c r="F168" s="11" t="str">
        <f>IFERROR(VLOOKUP(B168&amp;C168,'Banco de Dados'!$I$3:$L$1006,3,FALSE),"")</f>
        <v/>
      </c>
    </row>
    <row r="169" spans="5:6" x14ac:dyDescent="0.25">
      <c r="E169" s="11" t="str">
        <f>IFERROR(VLOOKUP(B169&amp;C169,'Banco de Dados'!$I$3:$L$1006,4,FALSE),"")</f>
        <v/>
      </c>
      <c r="F169" s="11" t="str">
        <f>IFERROR(VLOOKUP(B169&amp;C169,'Banco de Dados'!$I$3:$L$1006,3,FALSE),"")</f>
        <v/>
      </c>
    </row>
    <row r="170" spans="5:6" x14ac:dyDescent="0.25">
      <c r="E170" s="11" t="str">
        <f>IFERROR(VLOOKUP(B170&amp;C170,'Banco de Dados'!$I$3:$L$1006,4,FALSE),"")</f>
        <v/>
      </c>
      <c r="F170" s="11" t="str">
        <f>IFERROR(VLOOKUP(B170&amp;C170,'Banco de Dados'!$I$3:$L$1006,3,FALSE),"")</f>
        <v/>
      </c>
    </row>
    <row r="171" spans="5:6" x14ac:dyDescent="0.25">
      <c r="E171" s="11" t="str">
        <f>IFERROR(VLOOKUP(B171&amp;C171,'Banco de Dados'!$I$3:$L$1006,4,FALSE),"")</f>
        <v/>
      </c>
      <c r="F171" s="11" t="str">
        <f>IFERROR(VLOOKUP(B171&amp;C171,'Banco de Dados'!$I$3:$L$1006,3,FALSE),"")</f>
        <v/>
      </c>
    </row>
    <row r="172" spans="5:6" x14ac:dyDescent="0.25">
      <c r="E172" s="11" t="str">
        <f>IFERROR(VLOOKUP(B172&amp;C172,'Banco de Dados'!$I$3:$L$1006,4,FALSE),"")</f>
        <v/>
      </c>
      <c r="F172" s="11" t="str">
        <f>IFERROR(VLOOKUP(B172&amp;C172,'Banco de Dados'!$I$3:$L$1006,3,FALSE),"")</f>
        <v/>
      </c>
    </row>
    <row r="173" spans="5:6" x14ac:dyDescent="0.25">
      <c r="E173" s="11" t="str">
        <f>IFERROR(VLOOKUP(B173&amp;C173,'Banco de Dados'!$I$3:$L$1006,4,FALSE),"")</f>
        <v/>
      </c>
      <c r="F173" s="11" t="str">
        <f>IFERROR(VLOOKUP(B173&amp;C173,'Banco de Dados'!$I$3:$L$1006,3,FALSE),"")</f>
        <v/>
      </c>
    </row>
    <row r="174" spans="5:6" x14ac:dyDescent="0.25">
      <c r="E174" s="11" t="str">
        <f>IFERROR(VLOOKUP(B174&amp;C174,'Banco de Dados'!$I$3:$L$1006,4,FALSE),"")</f>
        <v/>
      </c>
      <c r="F174" s="11" t="str">
        <f>IFERROR(VLOOKUP(B174&amp;C174,'Banco de Dados'!$I$3:$L$1006,3,FALSE),"")</f>
        <v/>
      </c>
    </row>
    <row r="175" spans="5:6" x14ac:dyDescent="0.25">
      <c r="E175" s="11" t="str">
        <f>IFERROR(VLOOKUP(B175&amp;C175,'Banco de Dados'!$I$3:$L$1006,4,FALSE),"")</f>
        <v/>
      </c>
      <c r="F175" s="11" t="str">
        <f>IFERROR(VLOOKUP(B175&amp;C175,'Banco de Dados'!$I$3:$L$1006,3,FALSE),"")</f>
        <v/>
      </c>
    </row>
    <row r="176" spans="5:6" x14ac:dyDescent="0.25">
      <c r="E176" s="11" t="str">
        <f>IFERROR(VLOOKUP(B176&amp;C176,'Banco de Dados'!$I$3:$L$1006,4,FALSE),"")</f>
        <v/>
      </c>
      <c r="F176" s="11" t="str">
        <f>IFERROR(VLOOKUP(B176&amp;C176,'Banco de Dados'!$I$3:$L$1006,3,FALSE),"")</f>
        <v/>
      </c>
    </row>
    <row r="177" spans="5:6" x14ac:dyDescent="0.25">
      <c r="E177" s="11" t="str">
        <f>IFERROR(VLOOKUP(B177&amp;C177,'Banco de Dados'!$I$3:$L$1006,4,FALSE),"")</f>
        <v/>
      </c>
      <c r="F177" s="11" t="str">
        <f>IFERROR(VLOOKUP(B177&amp;C177,'Banco de Dados'!$I$3:$L$1006,3,FALSE),"")</f>
        <v/>
      </c>
    </row>
    <row r="178" spans="5:6" x14ac:dyDescent="0.25">
      <c r="E178" s="11" t="str">
        <f>IFERROR(VLOOKUP(B178&amp;C178,'Banco de Dados'!$I$3:$L$1006,4,FALSE),"")</f>
        <v/>
      </c>
      <c r="F178" s="11" t="str">
        <f>IFERROR(VLOOKUP(B178&amp;C178,'Banco de Dados'!$I$3:$L$1006,3,FALSE),"")</f>
        <v/>
      </c>
    </row>
    <row r="179" spans="5:6" x14ac:dyDescent="0.25">
      <c r="E179" s="11" t="str">
        <f>IFERROR(VLOOKUP(B179&amp;C179,'Banco de Dados'!$I$3:$L$1006,4,FALSE),"")</f>
        <v/>
      </c>
      <c r="F179" s="11" t="str">
        <f>IFERROR(VLOOKUP(B179&amp;C179,'Banco de Dados'!$I$3:$L$1006,3,FALSE),"")</f>
        <v/>
      </c>
    </row>
    <row r="180" spans="5:6" x14ac:dyDescent="0.25">
      <c r="E180" s="11" t="str">
        <f>IFERROR(VLOOKUP(B180&amp;C180,'Banco de Dados'!$I$3:$L$1006,4,FALSE),"")</f>
        <v/>
      </c>
      <c r="F180" s="11" t="str">
        <f>IFERROR(VLOOKUP(B180&amp;C180,'Banco de Dados'!$I$3:$L$1006,3,FALSE),"")</f>
        <v/>
      </c>
    </row>
    <row r="181" spans="5:6" x14ac:dyDescent="0.25">
      <c r="E181" s="11" t="str">
        <f>IFERROR(VLOOKUP(B181&amp;C181,'Banco de Dados'!$I$3:$L$1006,4,FALSE),"")</f>
        <v/>
      </c>
      <c r="F181" s="11" t="str">
        <f>IFERROR(VLOOKUP(B181&amp;C181,'Banco de Dados'!$I$3:$L$1006,3,FALSE),"")</f>
        <v/>
      </c>
    </row>
    <row r="182" spans="5:6" x14ac:dyDescent="0.25">
      <c r="E182" s="11" t="str">
        <f>IFERROR(VLOOKUP(B182&amp;C182,'Banco de Dados'!$I$3:$L$1006,4,FALSE),"")</f>
        <v/>
      </c>
      <c r="F182" s="11" t="str">
        <f>IFERROR(VLOOKUP(B182&amp;C182,'Banco de Dados'!$I$3:$L$1006,3,FALSE),"")</f>
        <v/>
      </c>
    </row>
    <row r="183" spans="5:6" x14ac:dyDescent="0.25">
      <c r="E183" s="11" t="str">
        <f>IFERROR(VLOOKUP(B183&amp;C183,'Banco de Dados'!$I$3:$L$1006,4,FALSE),"")</f>
        <v/>
      </c>
      <c r="F183" s="11" t="str">
        <f>IFERROR(VLOOKUP(B183&amp;C183,'Banco de Dados'!$I$3:$L$1006,3,FALSE),"")</f>
        <v/>
      </c>
    </row>
    <row r="184" spans="5:6" x14ac:dyDescent="0.25">
      <c r="E184" s="11" t="str">
        <f>IFERROR(VLOOKUP(B184&amp;C184,'Banco de Dados'!$I$3:$L$1006,4,FALSE),"")</f>
        <v/>
      </c>
      <c r="F184" s="11" t="str">
        <f>IFERROR(VLOOKUP(B184&amp;C184,'Banco de Dados'!$I$3:$L$1006,3,FALSE),"")</f>
        <v/>
      </c>
    </row>
    <row r="185" spans="5:6" x14ac:dyDescent="0.25">
      <c r="E185" s="11" t="str">
        <f>IFERROR(VLOOKUP(B185&amp;C185,'Banco de Dados'!$I$3:$L$1006,4,FALSE),"")</f>
        <v/>
      </c>
      <c r="F185" s="11" t="str">
        <f>IFERROR(VLOOKUP(B185&amp;C185,'Banco de Dados'!$I$3:$L$1006,3,FALSE),"")</f>
        <v/>
      </c>
    </row>
    <row r="186" spans="5:6" x14ac:dyDescent="0.25">
      <c r="E186" s="11" t="str">
        <f>IFERROR(VLOOKUP(B186&amp;C186,'Banco de Dados'!$I$3:$L$1006,4,FALSE),"")</f>
        <v/>
      </c>
      <c r="F186" s="11" t="str">
        <f>IFERROR(VLOOKUP(B186&amp;C186,'Banco de Dados'!$I$3:$L$1006,3,FALSE),"")</f>
        <v/>
      </c>
    </row>
    <row r="187" spans="5:6" x14ac:dyDescent="0.25">
      <c r="E187" s="11" t="str">
        <f>IFERROR(VLOOKUP(B187&amp;C187,'Banco de Dados'!$I$3:$L$1006,4,FALSE),"")</f>
        <v/>
      </c>
      <c r="F187" s="11" t="str">
        <f>IFERROR(VLOOKUP(B187&amp;C187,'Banco de Dados'!$I$3:$L$1006,3,FALSE),"")</f>
        <v/>
      </c>
    </row>
    <row r="188" spans="5:6" x14ac:dyDescent="0.25">
      <c r="E188" s="11" t="str">
        <f>IFERROR(VLOOKUP(B188&amp;C188,'Banco de Dados'!$I$3:$L$1006,4,FALSE),"")</f>
        <v/>
      </c>
      <c r="F188" s="11" t="str">
        <f>IFERROR(VLOOKUP(B188&amp;C188,'Banco de Dados'!$I$3:$L$1006,3,FALSE),"")</f>
        <v/>
      </c>
    </row>
    <row r="189" spans="5:6" x14ac:dyDescent="0.25">
      <c r="E189" s="11" t="str">
        <f>IFERROR(VLOOKUP(B189&amp;C189,'Banco de Dados'!$I$3:$L$1006,4,FALSE),"")</f>
        <v/>
      </c>
      <c r="F189" s="11" t="str">
        <f>IFERROR(VLOOKUP(B189&amp;C189,'Banco de Dados'!$I$3:$L$1006,3,FALSE),"")</f>
        <v/>
      </c>
    </row>
    <row r="190" spans="5:6" x14ac:dyDescent="0.25">
      <c r="E190" s="11" t="str">
        <f>IFERROR(VLOOKUP(B190&amp;C190,'Banco de Dados'!$I$3:$L$1006,4,FALSE),"")</f>
        <v/>
      </c>
      <c r="F190" s="11" t="str">
        <f>IFERROR(VLOOKUP(B190&amp;C190,'Banco de Dados'!$I$3:$L$1006,3,FALSE),"")</f>
        <v/>
      </c>
    </row>
    <row r="191" spans="5:6" x14ac:dyDescent="0.25">
      <c r="E191" s="11" t="str">
        <f>IFERROR(VLOOKUP(B191&amp;C191,'Banco de Dados'!$I$3:$L$1006,4,FALSE),"")</f>
        <v/>
      </c>
      <c r="F191" s="11" t="str">
        <f>IFERROR(VLOOKUP(B191&amp;C191,'Banco de Dados'!$I$3:$L$1006,3,FALSE),"")</f>
        <v/>
      </c>
    </row>
    <row r="192" spans="5:6" x14ac:dyDescent="0.25">
      <c r="E192" s="11" t="str">
        <f>IFERROR(VLOOKUP(B192&amp;C192,'Banco de Dados'!$I$3:$L$1006,4,FALSE),"")</f>
        <v/>
      </c>
      <c r="F192" s="11" t="str">
        <f>IFERROR(VLOOKUP(B192&amp;C192,'Banco de Dados'!$I$3:$L$1006,3,FALSE),"")</f>
        <v/>
      </c>
    </row>
    <row r="193" spans="5:6" x14ac:dyDescent="0.25">
      <c r="E193" s="11" t="str">
        <f>IFERROR(VLOOKUP(B193&amp;C193,'Banco de Dados'!$I$3:$L$1006,4,FALSE),"")</f>
        <v/>
      </c>
      <c r="F193" s="11" t="str">
        <f>IFERROR(VLOOKUP(B193&amp;C193,'Banco de Dados'!$I$3:$L$1006,3,FALSE),"")</f>
        <v/>
      </c>
    </row>
    <row r="194" spans="5:6" x14ac:dyDescent="0.25">
      <c r="E194" s="11" t="str">
        <f>IFERROR(VLOOKUP(B194&amp;C194,'Banco de Dados'!$I$3:$L$1006,4,FALSE),"")</f>
        <v/>
      </c>
      <c r="F194" s="11" t="str">
        <f>IFERROR(VLOOKUP(B194&amp;C194,'Banco de Dados'!$I$3:$L$1006,3,FALSE),"")</f>
        <v/>
      </c>
    </row>
    <row r="195" spans="5:6" x14ac:dyDescent="0.25">
      <c r="E195" s="11" t="str">
        <f>IFERROR(VLOOKUP(B195&amp;C195,'Banco de Dados'!$I$3:$L$1006,4,FALSE),"")</f>
        <v/>
      </c>
      <c r="F195" s="11" t="str">
        <f>IFERROR(VLOOKUP(B195&amp;C195,'Banco de Dados'!$I$3:$L$1006,3,FALSE),"")</f>
        <v/>
      </c>
    </row>
    <row r="196" spans="5:6" x14ac:dyDescent="0.25">
      <c r="E196" s="11" t="str">
        <f>IFERROR(VLOOKUP(B196&amp;C196,'Banco de Dados'!$I$3:$L$1006,4,FALSE),"")</f>
        <v/>
      </c>
      <c r="F196" s="11" t="str">
        <f>IFERROR(VLOOKUP(B196&amp;C196,'Banco de Dados'!$I$3:$L$1006,3,FALSE),"")</f>
        <v/>
      </c>
    </row>
    <row r="197" spans="5:6" x14ac:dyDescent="0.25">
      <c r="E197" s="11" t="str">
        <f>IFERROR(VLOOKUP(B197&amp;C197,'Banco de Dados'!$I$3:$L$1006,4,FALSE),"")</f>
        <v/>
      </c>
      <c r="F197" s="11" t="str">
        <f>IFERROR(VLOOKUP(B197&amp;C197,'Banco de Dados'!$I$3:$L$1006,3,FALSE),"")</f>
        <v/>
      </c>
    </row>
    <row r="198" spans="5:6" x14ac:dyDescent="0.25">
      <c r="E198" s="11" t="str">
        <f>IFERROR(VLOOKUP(B198&amp;C198,'Banco de Dados'!$I$3:$L$1006,4,FALSE),"")</f>
        <v/>
      </c>
      <c r="F198" s="11" t="str">
        <f>IFERROR(VLOOKUP(B198&amp;C198,'Banco de Dados'!$I$3:$L$1006,3,FALSE),"")</f>
        <v/>
      </c>
    </row>
    <row r="199" spans="5:6" x14ac:dyDescent="0.25">
      <c r="E199" s="11" t="str">
        <f>IFERROR(VLOOKUP(B199&amp;C199,'Banco de Dados'!$I$3:$L$1006,4,FALSE),"")</f>
        <v/>
      </c>
      <c r="F199" s="11" t="str">
        <f>IFERROR(VLOOKUP(B199&amp;C199,'Banco de Dados'!$I$3:$L$1006,3,FALSE),"")</f>
        <v/>
      </c>
    </row>
    <row r="200" spans="5:6" x14ac:dyDescent="0.25">
      <c r="E200" s="11" t="str">
        <f>IFERROR(VLOOKUP(B200&amp;C200,'Banco de Dados'!$I$3:$L$1006,4,FALSE),"")</f>
        <v/>
      </c>
      <c r="F200" s="11" t="str">
        <f>IFERROR(VLOOKUP(B200&amp;C200,'Banco de Dados'!$I$3:$L$1006,3,FALSE),"")</f>
        <v/>
      </c>
    </row>
    <row r="201" spans="5:6" x14ac:dyDescent="0.25">
      <c r="E201" s="11" t="str">
        <f>IFERROR(VLOOKUP(B201&amp;C201,'Banco de Dados'!$I$3:$L$1006,4,FALSE),"")</f>
        <v/>
      </c>
      <c r="F201" s="11" t="str">
        <f>IFERROR(VLOOKUP(B201&amp;C201,'Banco de Dados'!$I$3:$L$1006,3,FALSE),"")</f>
        <v/>
      </c>
    </row>
    <row r="202" spans="5:6" x14ac:dyDescent="0.25">
      <c r="E202" s="11" t="str">
        <f>IFERROR(VLOOKUP(B202&amp;C202,'Banco de Dados'!$I$3:$L$1006,4,FALSE),"")</f>
        <v/>
      </c>
      <c r="F202" s="11" t="str">
        <f>IFERROR(VLOOKUP(B202&amp;C202,'Banco de Dados'!$I$3:$L$1006,3,FALSE),"")</f>
        <v/>
      </c>
    </row>
    <row r="203" spans="5:6" x14ac:dyDescent="0.25">
      <c r="E203" s="11" t="str">
        <f>IFERROR(VLOOKUP(B203&amp;C203,'Banco de Dados'!$I$3:$L$1006,4,FALSE),"")</f>
        <v/>
      </c>
      <c r="F203" s="11" t="str">
        <f>IFERROR(VLOOKUP(B203&amp;C203,'Banco de Dados'!$I$3:$L$1006,3,FALSE),"")</f>
        <v/>
      </c>
    </row>
    <row r="204" spans="5:6" x14ac:dyDescent="0.25">
      <c r="E204" s="11" t="str">
        <f>IFERROR(VLOOKUP(B204&amp;C204,'Banco de Dados'!$I$3:$L$1006,4,FALSE),"")</f>
        <v/>
      </c>
      <c r="F204" s="11" t="str">
        <f>IFERROR(VLOOKUP(B204&amp;C204,'Banco de Dados'!$I$3:$L$1006,3,FALSE),"")</f>
        <v/>
      </c>
    </row>
    <row r="205" spans="5:6" x14ac:dyDescent="0.25">
      <c r="E205" s="11" t="str">
        <f>IFERROR(VLOOKUP(B205&amp;C205,'Banco de Dados'!$I$3:$L$1006,4,FALSE),"")</f>
        <v/>
      </c>
      <c r="F205" s="11" t="str">
        <f>IFERROR(VLOOKUP(B205&amp;C205,'Banco de Dados'!$I$3:$L$1006,3,FALSE),"")</f>
        <v/>
      </c>
    </row>
    <row r="206" spans="5:6" x14ac:dyDescent="0.25">
      <c r="E206" s="11" t="str">
        <f>IFERROR(VLOOKUP(B206&amp;C206,'Banco de Dados'!$I$3:$L$1006,4,FALSE),"")</f>
        <v/>
      </c>
      <c r="F206" s="11" t="str">
        <f>IFERROR(VLOOKUP(B206&amp;C206,'Banco de Dados'!$I$3:$L$1006,3,FALSE),"")</f>
        <v/>
      </c>
    </row>
    <row r="207" spans="5:6" x14ac:dyDescent="0.25">
      <c r="E207" s="11" t="str">
        <f>IFERROR(VLOOKUP(B207&amp;C207,'Banco de Dados'!$I$3:$L$1006,4,FALSE),"")</f>
        <v/>
      </c>
      <c r="F207" s="11" t="str">
        <f>IFERROR(VLOOKUP(B207&amp;C207,'Banco de Dados'!$I$3:$L$1006,3,FALSE),"")</f>
        <v/>
      </c>
    </row>
    <row r="208" spans="5:6" x14ac:dyDescent="0.25">
      <c r="E208" s="11" t="str">
        <f>IFERROR(VLOOKUP(B208&amp;C208,'Banco de Dados'!$I$3:$L$1006,4,FALSE),"")</f>
        <v/>
      </c>
      <c r="F208" s="11" t="str">
        <f>IFERROR(VLOOKUP(B208&amp;C208,'Banco de Dados'!$I$3:$L$1006,3,FALSE),"")</f>
        <v/>
      </c>
    </row>
    <row r="209" spans="5:6" x14ac:dyDescent="0.25">
      <c r="E209" s="11" t="str">
        <f>IFERROR(VLOOKUP(B209&amp;C209,'Banco de Dados'!$I$3:$L$1006,4,FALSE),"")</f>
        <v/>
      </c>
      <c r="F209" s="11" t="str">
        <f>IFERROR(VLOOKUP(B209&amp;C209,'Banco de Dados'!$I$3:$L$1006,3,FALSE),"")</f>
        <v/>
      </c>
    </row>
    <row r="210" spans="5:6" x14ac:dyDescent="0.25">
      <c r="E210" s="11" t="str">
        <f>IFERROR(VLOOKUP(B210&amp;C210,'Banco de Dados'!$I$3:$L$1006,4,FALSE),"")</f>
        <v/>
      </c>
      <c r="F210" s="11" t="str">
        <f>IFERROR(VLOOKUP(B210&amp;C210,'Banco de Dados'!$I$3:$L$1006,3,FALSE),"")</f>
        <v/>
      </c>
    </row>
    <row r="211" spans="5:6" x14ac:dyDescent="0.25">
      <c r="E211" s="11" t="str">
        <f>IFERROR(VLOOKUP(B211&amp;C211,'Banco de Dados'!$I$3:$L$1006,4,FALSE),"")</f>
        <v/>
      </c>
      <c r="F211" s="11" t="str">
        <f>IFERROR(VLOOKUP(B211&amp;C211,'Banco de Dados'!$I$3:$L$1006,3,FALSE),"")</f>
        <v/>
      </c>
    </row>
    <row r="212" spans="5:6" x14ac:dyDescent="0.25">
      <c r="E212" s="11" t="str">
        <f>IFERROR(VLOOKUP(B212&amp;C212,'Banco de Dados'!$I$3:$L$1006,4,FALSE),"")</f>
        <v/>
      </c>
      <c r="F212" s="11" t="str">
        <f>IFERROR(VLOOKUP(B212&amp;C212,'Banco de Dados'!$I$3:$L$1006,3,FALSE),"")</f>
        <v/>
      </c>
    </row>
    <row r="213" spans="5:6" x14ac:dyDescent="0.25">
      <c r="E213" s="11" t="str">
        <f>IFERROR(VLOOKUP(B213&amp;C213,'Banco de Dados'!$I$3:$L$1006,4,FALSE),"")</f>
        <v/>
      </c>
      <c r="F213" s="11" t="str">
        <f>IFERROR(VLOOKUP(B213&amp;C213,'Banco de Dados'!$I$3:$L$1006,3,FALSE),"")</f>
        <v/>
      </c>
    </row>
    <row r="214" spans="5:6" x14ac:dyDescent="0.25">
      <c r="E214" s="11" t="str">
        <f>IFERROR(VLOOKUP(B214&amp;C214,'Banco de Dados'!$I$3:$L$1006,4,FALSE),"")</f>
        <v/>
      </c>
      <c r="F214" s="11" t="str">
        <f>IFERROR(VLOOKUP(B214&amp;C214,'Banco de Dados'!$I$3:$L$1006,3,FALSE),"")</f>
        <v/>
      </c>
    </row>
    <row r="215" spans="5:6" x14ac:dyDescent="0.25">
      <c r="E215" s="11" t="str">
        <f>IFERROR(VLOOKUP(B215&amp;C215,'Banco de Dados'!$I$3:$L$1006,4,FALSE),"")</f>
        <v/>
      </c>
      <c r="F215" s="11" t="str">
        <f>IFERROR(VLOOKUP(B215&amp;C215,'Banco de Dados'!$I$3:$L$1006,3,FALSE),"")</f>
        <v/>
      </c>
    </row>
    <row r="216" spans="5:6" x14ac:dyDescent="0.25">
      <c r="E216" s="11" t="str">
        <f>IFERROR(VLOOKUP(B216&amp;C216,'Banco de Dados'!$I$3:$L$1006,4,FALSE),"")</f>
        <v/>
      </c>
      <c r="F216" s="11" t="str">
        <f>IFERROR(VLOOKUP(B216&amp;C216,'Banco de Dados'!$I$3:$L$1006,3,FALSE),"")</f>
        <v/>
      </c>
    </row>
    <row r="217" spans="5:6" x14ac:dyDescent="0.25">
      <c r="E217" s="11" t="str">
        <f>IFERROR(VLOOKUP(B217&amp;C217,'Banco de Dados'!$I$3:$L$1006,4,FALSE),"")</f>
        <v/>
      </c>
      <c r="F217" s="11" t="str">
        <f>IFERROR(VLOOKUP(B217&amp;C217,'Banco de Dados'!$I$3:$L$1006,3,FALSE),"")</f>
        <v/>
      </c>
    </row>
    <row r="218" spans="5:6" x14ac:dyDescent="0.25">
      <c r="E218" s="11" t="str">
        <f>IFERROR(VLOOKUP(B218&amp;C218,'Banco de Dados'!$I$3:$L$1006,4,FALSE),"")</f>
        <v/>
      </c>
      <c r="F218" s="11" t="str">
        <f>IFERROR(VLOOKUP(B218&amp;C218,'Banco de Dados'!$I$3:$L$1006,3,FALSE),"")</f>
        <v/>
      </c>
    </row>
    <row r="219" spans="5:6" x14ac:dyDescent="0.25">
      <c r="E219" s="11" t="str">
        <f>IFERROR(VLOOKUP(B219&amp;C219,'Banco de Dados'!$I$3:$L$1006,4,FALSE),"")</f>
        <v/>
      </c>
      <c r="F219" s="11" t="str">
        <f>IFERROR(VLOOKUP(B219&amp;C219,'Banco de Dados'!$I$3:$L$1006,3,FALSE),"")</f>
        <v/>
      </c>
    </row>
    <row r="220" spans="5:6" x14ac:dyDescent="0.25">
      <c r="E220" s="11" t="str">
        <f>IFERROR(VLOOKUP(B220&amp;C220,'Banco de Dados'!$I$3:$L$1006,4,FALSE),"")</f>
        <v/>
      </c>
      <c r="F220" s="11" t="str">
        <f>IFERROR(VLOOKUP(B220&amp;C220,'Banco de Dados'!$I$3:$L$1006,3,FALSE),"")</f>
        <v/>
      </c>
    </row>
    <row r="221" spans="5:6" x14ac:dyDescent="0.25">
      <c r="E221" s="11" t="str">
        <f>IFERROR(VLOOKUP(B221&amp;C221,'Banco de Dados'!$I$3:$L$1006,4,FALSE),"")</f>
        <v/>
      </c>
      <c r="F221" s="11" t="str">
        <f>IFERROR(VLOOKUP(B221&amp;C221,'Banco de Dados'!$I$3:$L$1006,3,FALSE),"")</f>
        <v/>
      </c>
    </row>
    <row r="222" spans="5:6" x14ac:dyDescent="0.25">
      <c r="E222" s="11" t="str">
        <f>IFERROR(VLOOKUP(B222&amp;C222,'Banco de Dados'!$I$3:$L$1006,4,FALSE),"")</f>
        <v/>
      </c>
      <c r="F222" s="11" t="str">
        <f>IFERROR(VLOOKUP(B222&amp;C222,'Banco de Dados'!$I$3:$L$1006,3,FALSE),"")</f>
        <v/>
      </c>
    </row>
    <row r="223" spans="5:6" x14ac:dyDescent="0.25">
      <c r="E223" s="11" t="str">
        <f>IFERROR(VLOOKUP(B223&amp;C223,'Banco de Dados'!$I$3:$L$1006,4,FALSE),"")</f>
        <v/>
      </c>
      <c r="F223" s="11" t="str">
        <f>IFERROR(VLOOKUP(B223&amp;C223,'Banco de Dados'!$I$3:$L$1006,3,FALSE),"")</f>
        <v/>
      </c>
    </row>
    <row r="224" spans="5:6" x14ac:dyDescent="0.25">
      <c r="E224" s="11" t="str">
        <f>IFERROR(VLOOKUP(B224&amp;C224,'Banco de Dados'!$I$3:$L$1006,4,FALSE),"")</f>
        <v/>
      </c>
      <c r="F224" s="11" t="str">
        <f>IFERROR(VLOOKUP(B224&amp;C224,'Banco de Dados'!$I$3:$L$1006,3,FALSE),"")</f>
        <v/>
      </c>
    </row>
    <row r="225" spans="5:6" x14ac:dyDescent="0.25">
      <c r="E225" s="11" t="str">
        <f>IFERROR(VLOOKUP(B225&amp;C225,'Banco de Dados'!$I$3:$L$1006,4,FALSE),"")</f>
        <v/>
      </c>
      <c r="F225" s="11" t="str">
        <f>IFERROR(VLOOKUP(B225&amp;C225,'Banco de Dados'!$I$3:$L$1006,3,FALSE),"")</f>
        <v/>
      </c>
    </row>
    <row r="226" spans="5:6" x14ac:dyDescent="0.25">
      <c r="E226" s="11" t="str">
        <f>IFERROR(VLOOKUP(B226&amp;C226,'Banco de Dados'!$I$3:$L$1006,4,FALSE),"")</f>
        <v/>
      </c>
      <c r="F226" s="11" t="str">
        <f>IFERROR(VLOOKUP(B226&amp;C226,'Banco de Dados'!$I$3:$L$1006,3,FALSE),"")</f>
        <v/>
      </c>
    </row>
    <row r="227" spans="5:6" x14ac:dyDescent="0.25">
      <c r="E227" s="11" t="str">
        <f>IFERROR(VLOOKUP(B227&amp;C227,'Banco de Dados'!$I$3:$L$1006,4,FALSE),"")</f>
        <v/>
      </c>
      <c r="F227" s="11" t="str">
        <f>IFERROR(VLOOKUP(B227&amp;C227,'Banco de Dados'!$I$3:$L$1006,3,FALSE),"")</f>
        <v/>
      </c>
    </row>
    <row r="228" spans="5:6" x14ac:dyDescent="0.25">
      <c r="E228" s="11" t="str">
        <f>IFERROR(VLOOKUP(B228&amp;C228,'Banco de Dados'!$I$3:$L$1006,4,FALSE),"")</f>
        <v/>
      </c>
      <c r="F228" s="11" t="str">
        <f>IFERROR(VLOOKUP(B228&amp;C228,'Banco de Dados'!$I$3:$L$1006,3,FALSE),"")</f>
        <v/>
      </c>
    </row>
    <row r="229" spans="5:6" x14ac:dyDescent="0.25">
      <c r="E229" s="11" t="str">
        <f>IFERROR(VLOOKUP(B229&amp;C229,'Banco de Dados'!$I$3:$L$1006,4,FALSE),"")</f>
        <v/>
      </c>
      <c r="F229" s="11" t="str">
        <f>IFERROR(VLOOKUP(B229&amp;C229,'Banco de Dados'!$I$3:$L$1006,3,FALSE),"")</f>
        <v/>
      </c>
    </row>
    <row r="230" spans="5:6" x14ac:dyDescent="0.25">
      <c r="E230" s="11" t="str">
        <f>IFERROR(VLOOKUP(B230&amp;C230,'Banco de Dados'!$I$3:$L$1006,4,FALSE),"")</f>
        <v/>
      </c>
      <c r="F230" s="11" t="str">
        <f>IFERROR(VLOOKUP(B230&amp;C230,'Banco de Dados'!$I$3:$L$1006,3,FALSE),"")</f>
        <v/>
      </c>
    </row>
    <row r="231" spans="5:6" x14ac:dyDescent="0.25">
      <c r="E231" s="11" t="str">
        <f>IFERROR(VLOOKUP(B231&amp;C231,'Banco de Dados'!$I$3:$L$1006,4,FALSE),"")</f>
        <v/>
      </c>
      <c r="F231" s="11" t="str">
        <f>IFERROR(VLOOKUP(B231&amp;C231,'Banco de Dados'!$I$3:$L$1006,3,FALSE),"")</f>
        <v/>
      </c>
    </row>
    <row r="232" spans="5:6" x14ac:dyDescent="0.25">
      <c r="E232" s="11" t="str">
        <f>IFERROR(VLOOKUP(B232&amp;C232,'Banco de Dados'!$I$3:$L$1006,4,FALSE),"")</f>
        <v/>
      </c>
      <c r="F232" s="11" t="str">
        <f>IFERROR(VLOOKUP(B232&amp;C232,'Banco de Dados'!$I$3:$L$1006,3,FALSE),"")</f>
        <v/>
      </c>
    </row>
    <row r="233" spans="5:6" x14ac:dyDescent="0.25">
      <c r="E233" s="11" t="str">
        <f>IFERROR(VLOOKUP(B233&amp;C233,'Banco de Dados'!$I$3:$L$1006,4,FALSE),"")</f>
        <v/>
      </c>
      <c r="F233" s="11" t="str">
        <f>IFERROR(VLOOKUP(B233&amp;C233,'Banco de Dados'!$I$3:$L$1006,3,FALSE),"")</f>
        <v/>
      </c>
    </row>
    <row r="234" spans="5:6" x14ac:dyDescent="0.25">
      <c r="E234" s="11" t="str">
        <f>IFERROR(VLOOKUP(B234&amp;C234,'Banco de Dados'!$I$3:$L$1006,4,FALSE),"")</f>
        <v/>
      </c>
      <c r="F234" s="11" t="str">
        <f>IFERROR(VLOOKUP(B234&amp;C234,'Banco de Dados'!$I$3:$L$1006,3,FALSE),"")</f>
        <v/>
      </c>
    </row>
    <row r="235" spans="5:6" x14ac:dyDescent="0.25">
      <c r="E235" s="11" t="str">
        <f>IFERROR(VLOOKUP(B235&amp;C235,'Banco de Dados'!$I$3:$L$1006,4,FALSE),"")</f>
        <v/>
      </c>
      <c r="F235" s="11" t="str">
        <f>IFERROR(VLOOKUP(B235&amp;C235,'Banco de Dados'!$I$3:$L$1006,3,FALSE),"")</f>
        <v/>
      </c>
    </row>
    <row r="236" spans="5:6" x14ac:dyDescent="0.25">
      <c r="E236" s="11" t="str">
        <f>IFERROR(VLOOKUP(B236&amp;C236,'Banco de Dados'!$I$3:$L$1006,4,FALSE),"")</f>
        <v/>
      </c>
      <c r="F236" s="11" t="str">
        <f>IFERROR(VLOOKUP(B236&amp;C236,'Banco de Dados'!$I$3:$L$1006,3,FALSE),"")</f>
        <v/>
      </c>
    </row>
    <row r="237" spans="5:6" x14ac:dyDescent="0.25">
      <c r="E237" s="11" t="str">
        <f>IFERROR(VLOOKUP(B237&amp;C237,'Banco de Dados'!$I$3:$L$1006,4,FALSE),"")</f>
        <v/>
      </c>
      <c r="F237" s="11" t="str">
        <f>IFERROR(VLOOKUP(B237&amp;C237,'Banco de Dados'!$I$3:$L$1006,3,FALSE),"")</f>
        <v/>
      </c>
    </row>
    <row r="238" spans="5:6" x14ac:dyDescent="0.25">
      <c r="E238" s="11" t="str">
        <f>IFERROR(VLOOKUP(B238&amp;C238,'Banco de Dados'!$I$3:$L$1006,4,FALSE),"")</f>
        <v/>
      </c>
      <c r="F238" s="11" t="str">
        <f>IFERROR(VLOOKUP(B238&amp;C238,'Banco de Dados'!$I$3:$L$1006,3,FALSE),"")</f>
        <v/>
      </c>
    </row>
    <row r="239" spans="5:6" x14ac:dyDescent="0.25">
      <c r="E239" s="11" t="str">
        <f>IFERROR(VLOOKUP(B239&amp;C239,'Banco de Dados'!$I$3:$L$1006,4,FALSE),"")</f>
        <v/>
      </c>
      <c r="F239" s="11" t="str">
        <f>IFERROR(VLOOKUP(B239&amp;C239,'Banco de Dados'!$I$3:$L$1006,3,FALSE),"")</f>
        <v/>
      </c>
    </row>
    <row r="240" spans="5:6" x14ac:dyDescent="0.25">
      <c r="E240" s="11" t="str">
        <f>IFERROR(VLOOKUP(B240&amp;C240,'Banco de Dados'!$I$3:$L$1006,4,FALSE),"")</f>
        <v/>
      </c>
      <c r="F240" s="11" t="str">
        <f>IFERROR(VLOOKUP(B240&amp;C240,'Banco de Dados'!$I$3:$L$1006,3,FALSE),"")</f>
        <v/>
      </c>
    </row>
    <row r="241" spans="5:6" x14ac:dyDescent="0.25">
      <c r="E241" s="11" t="str">
        <f>IFERROR(VLOOKUP(B241&amp;C241,'Banco de Dados'!$I$3:$L$1006,4,FALSE),"")</f>
        <v/>
      </c>
      <c r="F241" s="11" t="str">
        <f>IFERROR(VLOOKUP(B241&amp;C241,'Banco de Dados'!$I$3:$L$1006,3,FALSE),"")</f>
        <v/>
      </c>
    </row>
    <row r="242" spans="5:6" x14ac:dyDescent="0.25">
      <c r="E242" s="11" t="str">
        <f>IFERROR(VLOOKUP(B242&amp;C242,'Banco de Dados'!$I$3:$L$1006,4,FALSE),"")</f>
        <v/>
      </c>
      <c r="F242" s="11" t="str">
        <f>IFERROR(VLOOKUP(B242&amp;C242,'Banco de Dados'!$I$3:$L$1006,3,FALSE),"")</f>
        <v/>
      </c>
    </row>
    <row r="243" spans="5:6" x14ac:dyDescent="0.25">
      <c r="E243" s="11" t="str">
        <f>IFERROR(VLOOKUP(B243&amp;C243,'Banco de Dados'!$I$3:$L$1006,4,FALSE),"")</f>
        <v/>
      </c>
      <c r="F243" s="11" t="str">
        <f>IFERROR(VLOOKUP(B243&amp;C243,'Banco de Dados'!$I$3:$L$1006,3,FALSE),"")</f>
        <v/>
      </c>
    </row>
    <row r="244" spans="5:6" x14ac:dyDescent="0.25">
      <c r="E244" s="11" t="str">
        <f>IFERROR(VLOOKUP(B244&amp;C244,'Banco de Dados'!$I$3:$L$1006,4,FALSE),"")</f>
        <v/>
      </c>
      <c r="F244" s="11" t="str">
        <f>IFERROR(VLOOKUP(B244&amp;C244,'Banco de Dados'!$I$3:$L$1006,3,FALSE),"")</f>
        <v/>
      </c>
    </row>
    <row r="245" spans="5:6" x14ac:dyDescent="0.25">
      <c r="E245" s="11" t="str">
        <f>IFERROR(VLOOKUP(B245&amp;C245,'Banco de Dados'!$I$3:$L$1006,4,FALSE),"")</f>
        <v/>
      </c>
      <c r="F245" s="11" t="str">
        <f>IFERROR(VLOOKUP(B245&amp;C245,'Banco de Dados'!$I$3:$L$1006,3,FALSE),"")</f>
        <v/>
      </c>
    </row>
    <row r="246" spans="5:6" x14ac:dyDescent="0.25">
      <c r="E246" s="11" t="str">
        <f>IFERROR(VLOOKUP(B246&amp;C246,'Banco de Dados'!$I$3:$L$1006,4,FALSE),"")</f>
        <v/>
      </c>
      <c r="F246" s="11" t="str">
        <f>IFERROR(VLOOKUP(B246&amp;C246,'Banco de Dados'!$I$3:$L$1006,3,FALSE),"")</f>
        <v/>
      </c>
    </row>
    <row r="247" spans="5:6" x14ac:dyDescent="0.25">
      <c r="E247" s="11" t="str">
        <f>IFERROR(VLOOKUP(B247&amp;C247,'Banco de Dados'!$I$3:$L$1006,4,FALSE),"")</f>
        <v/>
      </c>
      <c r="F247" s="11" t="str">
        <f>IFERROR(VLOOKUP(B247&amp;C247,'Banco de Dados'!$I$3:$L$1006,3,FALSE),"")</f>
        <v/>
      </c>
    </row>
    <row r="248" spans="5:6" x14ac:dyDescent="0.25">
      <c r="E248" s="11" t="str">
        <f>IFERROR(VLOOKUP(B248&amp;C248,'Banco de Dados'!$I$3:$L$1006,4,FALSE),"")</f>
        <v/>
      </c>
      <c r="F248" s="11" t="str">
        <f>IFERROR(VLOOKUP(B248&amp;C248,'Banco de Dados'!$I$3:$L$1006,3,FALSE),"")</f>
        <v/>
      </c>
    </row>
    <row r="249" spans="5:6" x14ac:dyDescent="0.25">
      <c r="E249" s="11" t="str">
        <f>IFERROR(VLOOKUP(B249&amp;C249,'Banco de Dados'!$I$3:$L$1006,4,FALSE),"")</f>
        <v/>
      </c>
      <c r="F249" s="11" t="str">
        <f>IFERROR(VLOOKUP(B249&amp;C249,'Banco de Dados'!$I$3:$L$1006,3,FALSE),"")</f>
        <v/>
      </c>
    </row>
    <row r="250" spans="5:6" x14ac:dyDescent="0.25">
      <c r="E250" s="11" t="str">
        <f>IFERROR(VLOOKUP(B250&amp;C250,'Banco de Dados'!$I$3:$L$1006,4,FALSE),"")</f>
        <v/>
      </c>
      <c r="F250" s="11" t="str">
        <f>IFERROR(VLOOKUP(B250&amp;C250,'Banco de Dados'!$I$3:$L$1006,3,FALSE),"")</f>
        <v/>
      </c>
    </row>
    <row r="251" spans="5:6" x14ac:dyDescent="0.25">
      <c r="E251" s="11" t="str">
        <f>IFERROR(VLOOKUP(B251&amp;C251,'Banco de Dados'!$I$3:$L$1006,4,FALSE),"")</f>
        <v/>
      </c>
      <c r="F251" s="11" t="str">
        <f>IFERROR(VLOOKUP(B251&amp;C251,'Banco de Dados'!$I$3:$L$1006,3,FALSE),"")</f>
        <v/>
      </c>
    </row>
    <row r="252" spans="5:6" x14ac:dyDescent="0.25">
      <c r="E252" s="11" t="str">
        <f>IFERROR(VLOOKUP(B252&amp;C252,'Banco de Dados'!$I$3:$L$1006,4,FALSE),"")</f>
        <v/>
      </c>
      <c r="F252" s="11" t="str">
        <f>IFERROR(VLOOKUP(B252&amp;C252,'Banco de Dados'!$I$3:$L$1006,3,FALSE),"")</f>
        <v/>
      </c>
    </row>
    <row r="253" spans="5:6" x14ac:dyDescent="0.25">
      <c r="E253" s="11" t="str">
        <f>IFERROR(VLOOKUP(B253&amp;C253,'Banco de Dados'!$I$3:$L$1006,4,FALSE),"")</f>
        <v/>
      </c>
      <c r="F253" s="11" t="str">
        <f>IFERROR(VLOOKUP(B253&amp;C253,'Banco de Dados'!$I$3:$L$1006,3,FALSE),"")</f>
        <v/>
      </c>
    </row>
    <row r="254" spans="5:6" x14ac:dyDescent="0.25">
      <c r="E254" s="11" t="str">
        <f>IFERROR(VLOOKUP(B254&amp;C254,'Banco de Dados'!$I$3:$L$1006,4,FALSE),"")</f>
        <v/>
      </c>
      <c r="F254" s="11" t="str">
        <f>IFERROR(VLOOKUP(B254&amp;C254,'Banco de Dados'!$I$3:$L$1006,3,FALSE),"")</f>
        <v/>
      </c>
    </row>
    <row r="255" spans="5:6" x14ac:dyDescent="0.25">
      <c r="E255" s="11" t="str">
        <f>IFERROR(VLOOKUP(B255&amp;C255,'Banco de Dados'!$I$3:$L$1006,4,FALSE),"")</f>
        <v/>
      </c>
      <c r="F255" s="11" t="str">
        <f>IFERROR(VLOOKUP(B255&amp;C255,'Banco de Dados'!$I$3:$L$1006,3,FALSE),"")</f>
        <v/>
      </c>
    </row>
    <row r="256" spans="5:6" x14ac:dyDescent="0.25">
      <c r="E256" s="11" t="str">
        <f>IFERROR(VLOOKUP(B256&amp;C256,'Banco de Dados'!$I$3:$L$1006,4,FALSE),"")</f>
        <v/>
      </c>
      <c r="F256" s="11" t="str">
        <f>IFERROR(VLOOKUP(B256&amp;C256,'Banco de Dados'!$I$3:$L$1006,3,FALSE),"")</f>
        <v/>
      </c>
    </row>
    <row r="257" spans="5:6" x14ac:dyDescent="0.25">
      <c r="E257" s="11" t="str">
        <f>IFERROR(VLOOKUP(B257&amp;C257,'Banco de Dados'!$I$3:$L$1006,4,FALSE),"")</f>
        <v/>
      </c>
      <c r="F257" s="11" t="str">
        <f>IFERROR(VLOOKUP(B257&amp;C257,'Banco de Dados'!$I$3:$L$1006,3,FALSE),"")</f>
        <v/>
      </c>
    </row>
    <row r="258" spans="5:6" x14ac:dyDescent="0.25">
      <c r="E258" s="11" t="str">
        <f>IFERROR(VLOOKUP(B258&amp;C258,'Banco de Dados'!$I$3:$L$1006,4,FALSE),"")</f>
        <v/>
      </c>
      <c r="F258" s="11" t="str">
        <f>IFERROR(VLOOKUP(B258&amp;C258,'Banco de Dados'!$I$3:$L$1006,3,FALSE),"")</f>
        <v/>
      </c>
    </row>
    <row r="259" spans="5:6" x14ac:dyDescent="0.25">
      <c r="E259" s="11" t="str">
        <f>IFERROR(VLOOKUP(B259&amp;C259,'Banco de Dados'!$I$3:$L$1006,4,FALSE),"")</f>
        <v/>
      </c>
      <c r="F259" s="11" t="str">
        <f>IFERROR(VLOOKUP(B259&amp;C259,'Banco de Dados'!$I$3:$L$1006,3,FALSE),"")</f>
        <v/>
      </c>
    </row>
    <row r="260" spans="5:6" x14ac:dyDescent="0.25">
      <c r="E260" s="11" t="str">
        <f>IFERROR(VLOOKUP(B260&amp;C260,'Banco de Dados'!$I$3:$L$1006,4,FALSE),"")</f>
        <v/>
      </c>
      <c r="F260" s="11" t="str">
        <f>IFERROR(VLOOKUP(B260&amp;C260,'Banco de Dados'!$I$3:$L$1006,3,FALSE),"")</f>
        <v/>
      </c>
    </row>
    <row r="261" spans="5:6" x14ac:dyDescent="0.25">
      <c r="E261" s="11" t="str">
        <f>IFERROR(VLOOKUP(B261&amp;C261,'Banco de Dados'!$I$3:$L$1006,4,FALSE),"")</f>
        <v/>
      </c>
      <c r="F261" s="11" t="str">
        <f>IFERROR(VLOOKUP(B261&amp;C261,'Banco de Dados'!$I$3:$L$1006,3,FALSE),"")</f>
        <v/>
      </c>
    </row>
    <row r="262" spans="5:6" x14ac:dyDescent="0.25">
      <c r="E262" s="11" t="str">
        <f>IFERROR(VLOOKUP(B262&amp;C262,'Banco de Dados'!$I$3:$L$1006,4,FALSE),"")</f>
        <v/>
      </c>
      <c r="F262" s="11" t="str">
        <f>IFERROR(VLOOKUP(B262&amp;C262,'Banco de Dados'!$I$3:$L$1006,3,FALSE),"")</f>
        <v/>
      </c>
    </row>
    <row r="263" spans="5:6" x14ac:dyDescent="0.25">
      <c r="E263" s="11" t="str">
        <f>IFERROR(VLOOKUP(B263&amp;C263,'Banco de Dados'!$I$3:$L$1006,4,FALSE),"")</f>
        <v/>
      </c>
      <c r="F263" s="11" t="str">
        <f>IFERROR(VLOOKUP(B263&amp;C263,'Banco de Dados'!$I$3:$L$1006,3,FALSE),"")</f>
        <v/>
      </c>
    </row>
    <row r="264" spans="5:6" x14ac:dyDescent="0.25">
      <c r="E264" s="11" t="str">
        <f>IFERROR(VLOOKUP(B264&amp;C264,'Banco de Dados'!$I$3:$L$1006,4,FALSE),"")</f>
        <v/>
      </c>
      <c r="F264" s="11" t="str">
        <f>IFERROR(VLOOKUP(B264&amp;C264,'Banco de Dados'!$I$3:$L$1006,3,FALSE),"")</f>
        <v/>
      </c>
    </row>
    <row r="265" spans="5:6" x14ac:dyDescent="0.25">
      <c r="E265" s="11" t="str">
        <f>IFERROR(VLOOKUP(B265&amp;C265,'Banco de Dados'!$I$3:$L$1006,4,FALSE),"")</f>
        <v/>
      </c>
      <c r="F265" s="11" t="str">
        <f>IFERROR(VLOOKUP(B265&amp;C265,'Banco de Dados'!$I$3:$L$1006,3,FALSE),"")</f>
        <v/>
      </c>
    </row>
    <row r="266" spans="5:6" x14ac:dyDescent="0.25">
      <c r="E266" s="11" t="str">
        <f>IFERROR(VLOOKUP(B266&amp;C266,'Banco de Dados'!$I$3:$L$1006,4,FALSE),"")</f>
        <v/>
      </c>
      <c r="F266" s="11" t="str">
        <f>IFERROR(VLOOKUP(B266&amp;C266,'Banco de Dados'!$I$3:$L$1006,3,FALSE),"")</f>
        <v/>
      </c>
    </row>
    <row r="267" spans="5:6" x14ac:dyDescent="0.25">
      <c r="E267" s="11" t="str">
        <f>IFERROR(VLOOKUP(B267&amp;C267,'Banco de Dados'!$I$3:$L$1006,4,FALSE),"")</f>
        <v/>
      </c>
      <c r="F267" s="11" t="str">
        <f>IFERROR(VLOOKUP(B267&amp;C267,'Banco de Dados'!$I$3:$L$1006,3,FALSE),"")</f>
        <v/>
      </c>
    </row>
    <row r="268" spans="5:6" x14ac:dyDescent="0.25">
      <c r="E268" s="11" t="str">
        <f>IFERROR(VLOOKUP(B268&amp;C268,'Banco de Dados'!$I$3:$L$1006,4,FALSE),"")</f>
        <v/>
      </c>
      <c r="F268" s="11" t="str">
        <f>IFERROR(VLOOKUP(B268&amp;C268,'Banco de Dados'!$I$3:$L$1006,3,FALSE),"")</f>
        <v/>
      </c>
    </row>
    <row r="269" spans="5:6" x14ac:dyDescent="0.25">
      <c r="E269" s="11" t="str">
        <f>IFERROR(VLOOKUP(B269&amp;C269,'Banco de Dados'!$I$3:$L$1006,4,FALSE),"")</f>
        <v/>
      </c>
      <c r="F269" s="11" t="str">
        <f>IFERROR(VLOOKUP(B269&amp;C269,'Banco de Dados'!$I$3:$L$1006,3,FALSE),"")</f>
        <v/>
      </c>
    </row>
    <row r="270" spans="5:6" x14ac:dyDescent="0.25">
      <c r="E270" s="11" t="str">
        <f>IFERROR(VLOOKUP(B270&amp;C270,'Banco de Dados'!$I$3:$L$1006,4,FALSE),"")</f>
        <v/>
      </c>
      <c r="F270" s="11" t="str">
        <f>IFERROR(VLOOKUP(B270&amp;C270,'Banco de Dados'!$I$3:$L$1006,3,FALSE),"")</f>
        <v/>
      </c>
    </row>
    <row r="271" spans="5:6" x14ac:dyDescent="0.25">
      <c r="E271" s="11" t="str">
        <f>IFERROR(VLOOKUP(B271&amp;C271,'Banco de Dados'!$I$3:$L$1006,4,FALSE),"")</f>
        <v/>
      </c>
      <c r="F271" s="11" t="str">
        <f>IFERROR(VLOOKUP(B271&amp;C271,'Banco de Dados'!$I$3:$L$1006,3,FALSE),"")</f>
        <v/>
      </c>
    </row>
    <row r="272" spans="5:6" x14ac:dyDescent="0.25">
      <c r="E272" s="11" t="str">
        <f>IFERROR(VLOOKUP(B272&amp;C272,'Banco de Dados'!$I$3:$L$1006,4,FALSE),"")</f>
        <v/>
      </c>
      <c r="F272" s="11" t="str">
        <f>IFERROR(VLOOKUP(B272&amp;C272,'Banco de Dados'!$I$3:$L$1006,3,FALSE),"")</f>
        <v/>
      </c>
    </row>
    <row r="273" spans="5:6" x14ac:dyDescent="0.25">
      <c r="E273" s="11" t="str">
        <f>IFERROR(VLOOKUP(B273&amp;C273,'Banco de Dados'!$I$3:$L$1006,4,FALSE),"")</f>
        <v/>
      </c>
      <c r="F273" s="11" t="str">
        <f>IFERROR(VLOOKUP(B273&amp;C273,'Banco de Dados'!$I$3:$L$1006,3,FALSE),"")</f>
        <v/>
      </c>
    </row>
    <row r="274" spans="5:6" x14ac:dyDescent="0.25">
      <c r="E274" s="11" t="str">
        <f>IFERROR(VLOOKUP(B274&amp;C274,'Banco de Dados'!$I$3:$L$1006,4,FALSE),"")</f>
        <v/>
      </c>
      <c r="F274" s="11" t="str">
        <f>IFERROR(VLOOKUP(B274&amp;C274,'Banco de Dados'!$I$3:$L$1006,3,FALSE),"")</f>
        <v/>
      </c>
    </row>
    <row r="275" spans="5:6" x14ac:dyDescent="0.25">
      <c r="E275" s="11" t="str">
        <f>IFERROR(VLOOKUP(B275&amp;C275,'Banco de Dados'!$I$3:$L$1006,4,FALSE),"")</f>
        <v/>
      </c>
      <c r="F275" s="11" t="str">
        <f>IFERROR(VLOOKUP(B275&amp;C275,'Banco de Dados'!$I$3:$L$1006,3,FALSE),"")</f>
        <v/>
      </c>
    </row>
    <row r="276" spans="5:6" x14ac:dyDescent="0.25">
      <c r="E276" s="11" t="str">
        <f>IFERROR(VLOOKUP(B276&amp;C276,'Banco de Dados'!$I$3:$L$1006,4,FALSE),"")</f>
        <v/>
      </c>
      <c r="F276" s="11" t="str">
        <f>IFERROR(VLOOKUP(B276&amp;C276,'Banco de Dados'!$I$3:$L$1006,3,FALSE),"")</f>
        <v/>
      </c>
    </row>
    <row r="277" spans="5:6" x14ac:dyDescent="0.25">
      <c r="E277" s="11" t="str">
        <f>IFERROR(VLOOKUP(B277&amp;C277,'Banco de Dados'!$I$3:$L$1006,4,FALSE),"")</f>
        <v/>
      </c>
      <c r="F277" s="11" t="str">
        <f>IFERROR(VLOOKUP(B277&amp;C277,'Banco de Dados'!$I$3:$L$1006,3,FALSE),"")</f>
        <v/>
      </c>
    </row>
    <row r="278" spans="5:6" x14ac:dyDescent="0.25">
      <c r="E278" s="11" t="str">
        <f>IFERROR(VLOOKUP(B278&amp;C278,'Banco de Dados'!$I$3:$L$1006,4,FALSE),"")</f>
        <v/>
      </c>
      <c r="F278" s="11" t="str">
        <f>IFERROR(VLOOKUP(B278&amp;C278,'Banco de Dados'!$I$3:$L$1006,3,FALSE),"")</f>
        <v/>
      </c>
    </row>
    <row r="279" spans="5:6" x14ac:dyDescent="0.25">
      <c r="E279" s="11" t="str">
        <f>IFERROR(VLOOKUP(B279&amp;C279,'Banco de Dados'!$I$3:$L$1006,4,FALSE),"")</f>
        <v/>
      </c>
      <c r="F279" s="11" t="str">
        <f>IFERROR(VLOOKUP(B279&amp;C279,'Banco de Dados'!$I$3:$L$1006,3,FALSE),"")</f>
        <v/>
      </c>
    </row>
    <row r="280" spans="5:6" x14ac:dyDescent="0.25">
      <c r="E280" s="11" t="str">
        <f>IFERROR(VLOOKUP(B280&amp;C280,'Banco de Dados'!$I$3:$L$1006,4,FALSE),"")</f>
        <v/>
      </c>
      <c r="F280" s="11" t="str">
        <f>IFERROR(VLOOKUP(B280&amp;C280,'Banco de Dados'!$I$3:$L$1006,3,FALSE),"")</f>
        <v/>
      </c>
    </row>
    <row r="281" spans="5:6" x14ac:dyDescent="0.25">
      <c r="E281" s="11" t="str">
        <f>IFERROR(VLOOKUP(B281&amp;C281,'Banco de Dados'!$I$3:$L$1006,4,FALSE),"")</f>
        <v/>
      </c>
      <c r="F281" s="11" t="str">
        <f>IFERROR(VLOOKUP(B281&amp;C281,'Banco de Dados'!$I$3:$L$1006,3,FALSE),"")</f>
        <v/>
      </c>
    </row>
    <row r="282" spans="5:6" x14ac:dyDescent="0.25">
      <c r="E282" s="11" t="str">
        <f>IFERROR(VLOOKUP(B282&amp;C282,'Banco de Dados'!$I$3:$L$1006,4,FALSE),"")</f>
        <v/>
      </c>
      <c r="F282" s="11" t="str">
        <f>IFERROR(VLOOKUP(B282&amp;C282,'Banco de Dados'!$I$3:$L$1006,3,FALSE),"")</f>
        <v/>
      </c>
    </row>
    <row r="283" spans="5:6" x14ac:dyDescent="0.25">
      <c r="E283" s="11" t="str">
        <f>IFERROR(VLOOKUP(B283&amp;C283,'Banco de Dados'!$I$3:$L$1006,4,FALSE),"")</f>
        <v/>
      </c>
      <c r="F283" s="11" t="str">
        <f>IFERROR(VLOOKUP(B283&amp;C283,'Banco de Dados'!$I$3:$L$1006,3,FALSE),"")</f>
        <v/>
      </c>
    </row>
    <row r="284" spans="5:6" x14ac:dyDescent="0.25">
      <c r="E284" s="11" t="str">
        <f>IFERROR(VLOOKUP(B284&amp;C284,'Banco de Dados'!$I$3:$L$1006,4,FALSE),"")</f>
        <v/>
      </c>
      <c r="F284" s="11" t="str">
        <f>IFERROR(VLOOKUP(B284&amp;C284,'Banco de Dados'!$I$3:$L$1006,3,FALSE),"")</f>
        <v/>
      </c>
    </row>
    <row r="285" spans="5:6" x14ac:dyDescent="0.25">
      <c r="E285" s="11" t="str">
        <f>IFERROR(VLOOKUP(B285&amp;C285,'Banco de Dados'!$I$3:$L$1006,4,FALSE),"")</f>
        <v/>
      </c>
      <c r="F285" s="11" t="str">
        <f>IFERROR(VLOOKUP(B285&amp;C285,'Banco de Dados'!$I$3:$L$1006,3,FALSE),"")</f>
        <v/>
      </c>
    </row>
    <row r="286" spans="5:6" x14ac:dyDescent="0.25">
      <c r="E286" s="11" t="str">
        <f>IFERROR(VLOOKUP(B286&amp;C286,'Banco de Dados'!$I$3:$L$1006,4,FALSE),"")</f>
        <v/>
      </c>
      <c r="F286" s="11" t="str">
        <f>IFERROR(VLOOKUP(B286&amp;C286,'Banco de Dados'!$I$3:$L$1006,3,FALSE),"")</f>
        <v/>
      </c>
    </row>
    <row r="287" spans="5:6" x14ac:dyDescent="0.25">
      <c r="E287" s="11" t="str">
        <f>IFERROR(VLOOKUP(B287&amp;C287,'Banco de Dados'!$I$3:$L$1006,4,FALSE),"")</f>
        <v/>
      </c>
      <c r="F287" s="11" t="str">
        <f>IFERROR(VLOOKUP(B287&amp;C287,'Banco de Dados'!$I$3:$L$1006,3,FALSE),"")</f>
        <v/>
      </c>
    </row>
    <row r="288" spans="5:6" x14ac:dyDescent="0.25">
      <c r="E288" s="11" t="str">
        <f>IFERROR(VLOOKUP(B288&amp;C288,'Banco de Dados'!$I$3:$L$1006,4,FALSE),"")</f>
        <v/>
      </c>
      <c r="F288" s="11" t="str">
        <f>IFERROR(VLOOKUP(B288&amp;C288,'Banco de Dados'!$I$3:$L$1006,3,FALSE),"")</f>
        <v/>
      </c>
    </row>
    <row r="289" spans="5:6" x14ac:dyDescent="0.25">
      <c r="E289" s="11" t="str">
        <f>IFERROR(VLOOKUP(B289&amp;C289,'Banco de Dados'!$I$3:$L$1006,4,FALSE),"")</f>
        <v/>
      </c>
      <c r="F289" s="11" t="str">
        <f>IFERROR(VLOOKUP(B289&amp;C289,'Banco de Dados'!$I$3:$L$1006,3,FALSE),"")</f>
        <v/>
      </c>
    </row>
    <row r="290" spans="5:6" x14ac:dyDescent="0.25">
      <c r="E290" s="11" t="str">
        <f>IFERROR(VLOOKUP(B290&amp;C290,'Banco de Dados'!$I$3:$L$1006,4,FALSE),"")</f>
        <v/>
      </c>
      <c r="F290" s="11" t="str">
        <f>IFERROR(VLOOKUP(B290&amp;C290,'Banco de Dados'!$I$3:$L$1006,3,FALSE),"")</f>
        <v/>
      </c>
    </row>
    <row r="291" spans="5:6" x14ac:dyDescent="0.25">
      <c r="E291" s="11" t="str">
        <f>IFERROR(VLOOKUP(B291&amp;C291,'Banco de Dados'!$I$3:$L$1006,4,FALSE),"")</f>
        <v/>
      </c>
      <c r="F291" s="11" t="str">
        <f>IFERROR(VLOOKUP(B291&amp;C291,'Banco de Dados'!$I$3:$L$1006,3,FALSE),"")</f>
        <v/>
      </c>
    </row>
    <row r="292" spans="5:6" x14ac:dyDescent="0.25">
      <c r="E292" s="11" t="str">
        <f>IFERROR(VLOOKUP(B292&amp;C292,'Banco de Dados'!$I$3:$L$1006,4,FALSE),"")</f>
        <v/>
      </c>
      <c r="F292" s="11" t="str">
        <f>IFERROR(VLOOKUP(B292&amp;C292,'Banco de Dados'!$I$3:$L$1006,3,FALSE),"")</f>
        <v/>
      </c>
    </row>
    <row r="293" spans="5:6" x14ac:dyDescent="0.25">
      <c r="E293" s="11" t="str">
        <f>IFERROR(VLOOKUP(B293&amp;C293,'Banco de Dados'!$I$3:$L$1006,4,FALSE),"")</f>
        <v/>
      </c>
      <c r="F293" s="11" t="str">
        <f>IFERROR(VLOOKUP(B293&amp;C293,'Banco de Dados'!$I$3:$L$1006,3,FALSE),"")</f>
        <v/>
      </c>
    </row>
    <row r="294" spans="5:6" x14ac:dyDescent="0.25">
      <c r="E294" s="11" t="str">
        <f>IFERROR(VLOOKUP(B294&amp;C294,'Banco de Dados'!$I$3:$L$1006,4,FALSE),"")</f>
        <v/>
      </c>
      <c r="F294" s="11" t="str">
        <f>IFERROR(VLOOKUP(B294&amp;C294,'Banco de Dados'!$I$3:$L$1006,3,FALSE),"")</f>
        <v/>
      </c>
    </row>
    <row r="295" spans="5:6" x14ac:dyDescent="0.25">
      <c r="E295" s="11" t="str">
        <f>IFERROR(VLOOKUP(B295&amp;C295,'Banco de Dados'!$I$3:$L$1006,4,FALSE),"")</f>
        <v/>
      </c>
      <c r="F295" s="11" t="str">
        <f>IFERROR(VLOOKUP(B295&amp;C295,'Banco de Dados'!$I$3:$L$1006,3,FALSE),"")</f>
        <v/>
      </c>
    </row>
    <row r="296" spans="5:6" x14ac:dyDescent="0.25">
      <c r="E296" s="11" t="str">
        <f>IFERROR(VLOOKUP(B296&amp;C296,'Banco de Dados'!$I$3:$L$1006,4,FALSE),"")</f>
        <v/>
      </c>
      <c r="F296" s="11" t="str">
        <f>IFERROR(VLOOKUP(B296&amp;C296,'Banco de Dados'!$I$3:$L$1006,3,FALSE),"")</f>
        <v/>
      </c>
    </row>
    <row r="297" spans="5:6" x14ac:dyDescent="0.25">
      <c r="E297" s="11" t="str">
        <f>IFERROR(VLOOKUP(B297&amp;C297,'Banco de Dados'!$I$3:$L$1006,4,FALSE),"")</f>
        <v/>
      </c>
      <c r="F297" s="11" t="str">
        <f>IFERROR(VLOOKUP(B297&amp;C297,'Banco de Dados'!$I$3:$L$1006,3,FALSE),"")</f>
        <v/>
      </c>
    </row>
    <row r="298" spans="5:6" x14ac:dyDescent="0.25">
      <c r="E298" s="11" t="str">
        <f>IFERROR(VLOOKUP(B298&amp;C298,'Banco de Dados'!$I$3:$L$1006,4,FALSE),"")</f>
        <v/>
      </c>
      <c r="F298" s="11" t="str">
        <f>IFERROR(VLOOKUP(B298&amp;C298,'Banco de Dados'!$I$3:$L$1006,3,FALSE),"")</f>
        <v/>
      </c>
    </row>
    <row r="299" spans="5:6" x14ac:dyDescent="0.25">
      <c r="E299" s="11" t="str">
        <f>IFERROR(VLOOKUP(B299&amp;C299,'Banco de Dados'!$I$3:$L$1006,4,FALSE),"")</f>
        <v/>
      </c>
      <c r="F299" s="11" t="str">
        <f>IFERROR(VLOOKUP(B299&amp;C299,'Banco de Dados'!$I$3:$L$1006,3,FALSE),"")</f>
        <v/>
      </c>
    </row>
    <row r="300" spans="5:6" x14ac:dyDescent="0.25">
      <c r="E300" s="11" t="str">
        <f>IFERROR(VLOOKUP(B300&amp;C300,'Banco de Dados'!$I$3:$L$1006,4,FALSE),"")</f>
        <v/>
      </c>
      <c r="F300" s="11" t="str">
        <f>IFERROR(VLOOKUP(B300&amp;C300,'Banco de Dados'!$I$3:$L$1006,3,FALSE),"")</f>
        <v/>
      </c>
    </row>
    <row r="301" spans="5:6" x14ac:dyDescent="0.25">
      <c r="E301" s="11" t="str">
        <f>IFERROR(VLOOKUP(B301&amp;C301,'Banco de Dados'!$I$3:$L$1006,4,FALSE),"")</f>
        <v/>
      </c>
      <c r="F301" s="11" t="str">
        <f>IFERROR(VLOOKUP(B301&amp;C301,'Banco de Dados'!$I$3:$L$1006,3,FALSE),"")</f>
        <v/>
      </c>
    </row>
    <row r="302" spans="5:6" x14ac:dyDescent="0.25">
      <c r="E302" s="11" t="str">
        <f>IFERROR(VLOOKUP(B302&amp;C302,'Banco de Dados'!$I$3:$L$1006,4,FALSE),"")</f>
        <v/>
      </c>
      <c r="F302" s="11" t="str">
        <f>IFERROR(VLOOKUP(B302&amp;C302,'Banco de Dados'!$I$3:$L$1006,3,FALSE),"")</f>
        <v/>
      </c>
    </row>
    <row r="303" spans="5:6" x14ac:dyDescent="0.25">
      <c r="E303" s="11" t="str">
        <f>IFERROR(VLOOKUP(B303&amp;C303,'Banco de Dados'!$I$3:$L$1006,4,FALSE),"")</f>
        <v/>
      </c>
      <c r="F303" s="11" t="str">
        <f>IFERROR(VLOOKUP(B303&amp;C303,'Banco de Dados'!$I$3:$L$1006,3,FALSE),"")</f>
        <v/>
      </c>
    </row>
    <row r="304" spans="5:6" x14ac:dyDescent="0.25">
      <c r="E304" s="11" t="str">
        <f>IFERROR(VLOOKUP(B304&amp;C304,'Banco de Dados'!$I$3:$L$1006,4,FALSE),"")</f>
        <v/>
      </c>
      <c r="F304" s="11" t="str">
        <f>IFERROR(VLOOKUP(B304&amp;C304,'Banco de Dados'!$I$3:$L$1006,3,FALSE),"")</f>
        <v/>
      </c>
    </row>
    <row r="305" spans="5:6" x14ac:dyDescent="0.25">
      <c r="E305" s="11" t="str">
        <f>IFERROR(VLOOKUP(B305&amp;C305,'Banco de Dados'!$I$3:$L$1006,4,FALSE),"")</f>
        <v/>
      </c>
      <c r="F305" s="11" t="str">
        <f>IFERROR(VLOOKUP(B305&amp;C305,'Banco de Dados'!$I$3:$L$1006,3,FALSE),"")</f>
        <v/>
      </c>
    </row>
    <row r="306" spans="5:6" x14ac:dyDescent="0.25">
      <c r="E306" s="11" t="str">
        <f>IFERROR(VLOOKUP(B306&amp;C306,'Banco de Dados'!$I$3:$L$1006,4,FALSE),"")</f>
        <v/>
      </c>
      <c r="F306" s="11" t="str">
        <f>IFERROR(VLOOKUP(B306&amp;C306,'Banco de Dados'!$I$3:$L$1006,3,FALSE),"")</f>
        <v/>
      </c>
    </row>
    <row r="307" spans="5:6" x14ac:dyDescent="0.25">
      <c r="E307" s="11" t="str">
        <f>IFERROR(VLOOKUP(B307&amp;C307,'Banco de Dados'!$I$3:$L$1006,4,FALSE),"")</f>
        <v/>
      </c>
      <c r="F307" s="11" t="str">
        <f>IFERROR(VLOOKUP(B307&amp;C307,'Banco de Dados'!$I$3:$L$1006,3,FALSE),"")</f>
        <v/>
      </c>
    </row>
    <row r="308" spans="5:6" x14ac:dyDescent="0.25">
      <c r="E308" s="11" t="str">
        <f>IFERROR(VLOOKUP(B308&amp;C308,'Banco de Dados'!$I$3:$L$1006,4,FALSE),"")</f>
        <v/>
      </c>
      <c r="F308" s="11" t="str">
        <f>IFERROR(VLOOKUP(B308&amp;C308,'Banco de Dados'!$I$3:$L$1006,3,FALSE),"")</f>
        <v/>
      </c>
    </row>
    <row r="309" spans="5:6" x14ac:dyDescent="0.25">
      <c r="E309" s="11" t="str">
        <f>IFERROR(VLOOKUP(B309&amp;C309,'Banco de Dados'!$I$3:$L$1006,4,FALSE),"")</f>
        <v/>
      </c>
      <c r="F309" s="11" t="str">
        <f>IFERROR(VLOOKUP(B309&amp;C309,'Banco de Dados'!$I$3:$L$1006,3,FALSE),"")</f>
        <v/>
      </c>
    </row>
    <row r="310" spans="5:6" x14ac:dyDescent="0.25">
      <c r="E310" s="11" t="str">
        <f>IFERROR(VLOOKUP(B310&amp;C310,'Banco de Dados'!$I$3:$L$1006,4,FALSE),"")</f>
        <v/>
      </c>
      <c r="F310" s="11" t="str">
        <f>IFERROR(VLOOKUP(B310&amp;C310,'Banco de Dados'!$I$3:$L$1006,3,FALSE),"")</f>
        <v/>
      </c>
    </row>
    <row r="311" spans="5:6" x14ac:dyDescent="0.25">
      <c r="E311" s="11" t="str">
        <f>IFERROR(VLOOKUP(B311&amp;C311,'Banco de Dados'!$I$3:$L$1006,4,FALSE),"")</f>
        <v/>
      </c>
      <c r="F311" s="11" t="str">
        <f>IFERROR(VLOOKUP(B311&amp;C311,'Banco de Dados'!$I$3:$L$1006,3,FALSE),"")</f>
        <v/>
      </c>
    </row>
    <row r="312" spans="5:6" x14ac:dyDescent="0.25">
      <c r="E312" s="11" t="str">
        <f>IFERROR(VLOOKUP(B312&amp;C312,'Banco de Dados'!$I$3:$L$1006,4,FALSE),"")</f>
        <v/>
      </c>
      <c r="F312" s="11" t="str">
        <f>IFERROR(VLOOKUP(B312&amp;C312,'Banco de Dados'!$I$3:$L$1006,3,FALSE),"")</f>
        <v/>
      </c>
    </row>
    <row r="313" spans="5:6" x14ac:dyDescent="0.25">
      <c r="E313" s="11" t="str">
        <f>IFERROR(VLOOKUP(B313&amp;C313,'Banco de Dados'!$I$3:$L$1006,4,FALSE),"")</f>
        <v/>
      </c>
      <c r="F313" s="11" t="str">
        <f>IFERROR(VLOOKUP(B313&amp;C313,'Banco de Dados'!$I$3:$L$1006,3,FALSE),"")</f>
        <v/>
      </c>
    </row>
    <row r="314" spans="5:6" x14ac:dyDescent="0.25">
      <c r="E314" s="11" t="str">
        <f>IFERROR(VLOOKUP(B314&amp;C314,'Banco de Dados'!$I$3:$L$1006,4,FALSE),"")</f>
        <v/>
      </c>
      <c r="F314" s="11" t="str">
        <f>IFERROR(VLOOKUP(B314&amp;C314,'Banco de Dados'!$I$3:$L$1006,3,FALSE),"")</f>
        <v/>
      </c>
    </row>
    <row r="315" spans="5:6" x14ac:dyDescent="0.25">
      <c r="E315" s="11" t="str">
        <f>IFERROR(VLOOKUP(B315&amp;C315,'Banco de Dados'!$I$3:$L$1006,4,FALSE),"")</f>
        <v/>
      </c>
      <c r="F315" s="11" t="str">
        <f>IFERROR(VLOOKUP(B315&amp;C315,'Banco de Dados'!$I$3:$L$1006,3,FALSE),"")</f>
        <v/>
      </c>
    </row>
    <row r="316" spans="5:6" x14ac:dyDescent="0.25">
      <c r="E316" s="11" t="str">
        <f>IFERROR(VLOOKUP(B316&amp;C316,'Banco de Dados'!$I$3:$L$1006,4,FALSE),"")</f>
        <v/>
      </c>
      <c r="F316" s="11" t="str">
        <f>IFERROR(VLOOKUP(B316&amp;C316,'Banco de Dados'!$I$3:$L$1006,3,FALSE),"")</f>
        <v/>
      </c>
    </row>
    <row r="317" spans="5:6" x14ac:dyDescent="0.25">
      <c r="E317" s="11" t="str">
        <f>IFERROR(VLOOKUP(B317&amp;C317,'Banco de Dados'!$I$3:$L$1006,4,FALSE),"")</f>
        <v/>
      </c>
      <c r="F317" s="11" t="str">
        <f>IFERROR(VLOOKUP(B317&amp;C317,'Banco de Dados'!$I$3:$L$1006,3,FALSE),"")</f>
        <v/>
      </c>
    </row>
    <row r="318" spans="5:6" x14ac:dyDescent="0.25">
      <c r="E318" s="11" t="str">
        <f>IFERROR(VLOOKUP(B318&amp;C318,'Banco de Dados'!$I$3:$L$1006,4,FALSE),"")</f>
        <v/>
      </c>
      <c r="F318" s="11" t="str">
        <f>IFERROR(VLOOKUP(B318&amp;C318,'Banco de Dados'!$I$3:$L$1006,3,FALSE),"")</f>
        <v/>
      </c>
    </row>
    <row r="319" spans="5:6" x14ac:dyDescent="0.25">
      <c r="E319" s="11" t="str">
        <f>IFERROR(VLOOKUP(B319&amp;C319,'Banco de Dados'!$I$3:$L$1006,4,FALSE),"")</f>
        <v/>
      </c>
      <c r="F319" s="11" t="str">
        <f>IFERROR(VLOOKUP(B319&amp;C319,'Banco de Dados'!$I$3:$L$1006,3,FALSE),"")</f>
        <v/>
      </c>
    </row>
    <row r="320" spans="5:6" x14ac:dyDescent="0.25">
      <c r="E320" s="11" t="str">
        <f>IFERROR(VLOOKUP(B320&amp;C320,'Banco de Dados'!$I$3:$L$1006,4,FALSE),"")</f>
        <v/>
      </c>
      <c r="F320" s="11" t="str">
        <f>IFERROR(VLOOKUP(B320&amp;C320,'Banco de Dados'!$I$3:$L$1006,3,FALSE),"")</f>
        <v/>
      </c>
    </row>
    <row r="321" spans="5:6" x14ac:dyDescent="0.25">
      <c r="E321" s="11" t="str">
        <f>IFERROR(VLOOKUP(B321&amp;C321,'Banco de Dados'!$I$3:$L$1006,4,FALSE),"")</f>
        <v/>
      </c>
      <c r="F321" s="11" t="str">
        <f>IFERROR(VLOOKUP(B321&amp;C321,'Banco de Dados'!$I$3:$L$1006,3,FALSE),"")</f>
        <v/>
      </c>
    </row>
    <row r="322" spans="5:6" x14ac:dyDescent="0.25">
      <c r="E322" s="11" t="str">
        <f>IFERROR(VLOOKUP(B322&amp;C322,'Banco de Dados'!$I$3:$L$1006,4,FALSE),"")</f>
        <v/>
      </c>
      <c r="F322" s="11" t="str">
        <f>IFERROR(VLOOKUP(B322&amp;C322,'Banco de Dados'!$I$3:$L$1006,3,FALSE),"")</f>
        <v/>
      </c>
    </row>
    <row r="323" spans="5:6" x14ac:dyDescent="0.25">
      <c r="E323" s="11" t="str">
        <f>IFERROR(VLOOKUP(B323&amp;C323,'Banco de Dados'!$I$3:$L$1006,4,FALSE),"")</f>
        <v/>
      </c>
      <c r="F323" s="11" t="str">
        <f>IFERROR(VLOOKUP(B323&amp;C323,'Banco de Dados'!$I$3:$L$1006,3,FALSE),"")</f>
        <v/>
      </c>
    </row>
    <row r="324" spans="5:6" x14ac:dyDescent="0.25">
      <c r="E324" s="11" t="str">
        <f>IFERROR(VLOOKUP(B324&amp;C324,'Banco de Dados'!$I$3:$L$1006,4,FALSE),"")</f>
        <v/>
      </c>
      <c r="F324" s="11" t="str">
        <f>IFERROR(VLOOKUP(B324&amp;C324,'Banco de Dados'!$I$3:$L$1006,3,FALSE),"")</f>
        <v/>
      </c>
    </row>
    <row r="325" spans="5:6" x14ac:dyDescent="0.25">
      <c r="E325" s="11" t="str">
        <f>IFERROR(VLOOKUP(B325&amp;C325,'Banco de Dados'!$I$3:$L$1006,4,FALSE),"")</f>
        <v/>
      </c>
      <c r="F325" s="11" t="str">
        <f>IFERROR(VLOOKUP(B325&amp;C325,'Banco de Dados'!$I$3:$L$1006,3,FALSE),"")</f>
        <v/>
      </c>
    </row>
    <row r="326" spans="5:6" x14ac:dyDescent="0.25">
      <c r="E326" s="11" t="str">
        <f>IFERROR(VLOOKUP(B326&amp;C326,'Banco de Dados'!$I$3:$L$1006,4,FALSE),"")</f>
        <v/>
      </c>
      <c r="F326" s="11" t="str">
        <f>IFERROR(VLOOKUP(B326&amp;C326,'Banco de Dados'!$I$3:$L$1006,3,FALSE),"")</f>
        <v/>
      </c>
    </row>
    <row r="327" spans="5:6" x14ac:dyDescent="0.25">
      <c r="E327" s="11" t="str">
        <f>IFERROR(VLOOKUP(B327&amp;C327,'Banco de Dados'!$I$3:$L$1006,4,FALSE),"")</f>
        <v/>
      </c>
      <c r="F327" s="11" t="str">
        <f>IFERROR(VLOOKUP(B327&amp;C327,'Banco de Dados'!$I$3:$L$1006,3,FALSE),"")</f>
        <v/>
      </c>
    </row>
    <row r="328" spans="5:6" x14ac:dyDescent="0.25">
      <c r="E328" s="11" t="str">
        <f>IFERROR(VLOOKUP(B328&amp;C328,'Banco de Dados'!$I$3:$L$1006,4,FALSE),"")</f>
        <v/>
      </c>
      <c r="F328" s="11" t="str">
        <f>IFERROR(VLOOKUP(B328&amp;C328,'Banco de Dados'!$I$3:$L$1006,3,FALSE),"")</f>
        <v/>
      </c>
    </row>
    <row r="329" spans="5:6" x14ac:dyDescent="0.25">
      <c r="E329" s="11" t="str">
        <f>IFERROR(VLOOKUP(B329&amp;C329,'Banco de Dados'!$I$3:$L$1006,4,FALSE),"")</f>
        <v/>
      </c>
      <c r="F329" s="11" t="str">
        <f>IFERROR(VLOOKUP(B329&amp;C329,'Banco de Dados'!$I$3:$L$1006,3,FALSE),"")</f>
        <v/>
      </c>
    </row>
    <row r="330" spans="5:6" x14ac:dyDescent="0.25">
      <c r="E330" s="11" t="str">
        <f>IFERROR(VLOOKUP(B330&amp;C330,'Banco de Dados'!$I$3:$L$1006,4,FALSE),"")</f>
        <v/>
      </c>
      <c r="F330" s="11" t="str">
        <f>IFERROR(VLOOKUP(B330&amp;C330,'Banco de Dados'!$I$3:$L$1006,3,FALSE),"")</f>
        <v/>
      </c>
    </row>
    <row r="331" spans="5:6" x14ac:dyDescent="0.25">
      <c r="E331" s="11" t="str">
        <f>IFERROR(VLOOKUP(B331&amp;C331,'Banco de Dados'!$I$3:$L$1006,4,FALSE),"")</f>
        <v/>
      </c>
      <c r="F331" s="11" t="str">
        <f>IFERROR(VLOOKUP(B331&amp;C331,'Banco de Dados'!$I$3:$L$1006,3,FALSE),"")</f>
        <v/>
      </c>
    </row>
    <row r="332" spans="5:6" x14ac:dyDescent="0.25">
      <c r="E332" s="11" t="str">
        <f>IFERROR(VLOOKUP(B332&amp;C332,'Banco de Dados'!$I$3:$L$1006,4,FALSE),"")</f>
        <v/>
      </c>
      <c r="F332" s="11" t="str">
        <f>IFERROR(VLOOKUP(B332&amp;C332,'Banco de Dados'!$I$3:$L$1006,3,FALSE),"")</f>
        <v/>
      </c>
    </row>
    <row r="333" spans="5:6" x14ac:dyDescent="0.25">
      <c r="E333" s="11" t="str">
        <f>IFERROR(VLOOKUP(B333&amp;C333,'Banco de Dados'!$I$3:$L$1006,4,FALSE),"")</f>
        <v/>
      </c>
      <c r="F333" s="11" t="str">
        <f>IFERROR(VLOOKUP(B333&amp;C333,'Banco de Dados'!$I$3:$L$1006,3,FALSE),"")</f>
        <v/>
      </c>
    </row>
    <row r="334" spans="5:6" x14ac:dyDescent="0.25">
      <c r="E334" s="11" t="str">
        <f>IFERROR(VLOOKUP(B334&amp;C334,'Banco de Dados'!$I$3:$L$1006,4,FALSE),"")</f>
        <v/>
      </c>
      <c r="F334" s="11" t="str">
        <f>IFERROR(VLOOKUP(B334&amp;C334,'Banco de Dados'!$I$3:$L$1006,3,FALSE),"")</f>
        <v/>
      </c>
    </row>
    <row r="335" spans="5:6" x14ac:dyDescent="0.25">
      <c r="E335" s="11" t="str">
        <f>IFERROR(VLOOKUP(B335&amp;C335,'Banco de Dados'!$I$3:$L$1006,4,FALSE),"")</f>
        <v/>
      </c>
      <c r="F335" s="11" t="str">
        <f>IFERROR(VLOOKUP(B335&amp;C335,'Banco de Dados'!$I$3:$L$1006,3,FALSE),"")</f>
        <v/>
      </c>
    </row>
    <row r="336" spans="5:6" x14ac:dyDescent="0.25">
      <c r="E336" s="11" t="str">
        <f>IFERROR(VLOOKUP(B336&amp;C336,'Banco de Dados'!$I$3:$L$1006,4,FALSE),"")</f>
        <v/>
      </c>
      <c r="F336" s="11" t="str">
        <f>IFERROR(VLOOKUP(B336&amp;C336,'Banco de Dados'!$I$3:$L$1006,3,FALSE),"")</f>
        <v/>
      </c>
    </row>
    <row r="337" spans="5:6" x14ac:dyDescent="0.25">
      <c r="E337" s="11" t="str">
        <f>IFERROR(VLOOKUP(B337&amp;C337,'Banco de Dados'!$I$3:$L$1006,4,FALSE),"")</f>
        <v/>
      </c>
      <c r="F337" s="11" t="str">
        <f>IFERROR(VLOOKUP(B337&amp;C337,'Banco de Dados'!$I$3:$L$1006,3,FALSE),"")</f>
        <v/>
      </c>
    </row>
    <row r="338" spans="5:6" x14ac:dyDescent="0.25">
      <c r="E338" s="11" t="str">
        <f>IFERROR(VLOOKUP(B338&amp;C338,'Banco de Dados'!$I$3:$L$1006,4,FALSE),"")</f>
        <v/>
      </c>
      <c r="F338" s="11" t="str">
        <f>IFERROR(VLOOKUP(B338&amp;C338,'Banco de Dados'!$I$3:$L$1006,3,FALSE),"")</f>
        <v/>
      </c>
    </row>
    <row r="339" spans="5:6" x14ac:dyDescent="0.25">
      <c r="E339" s="11" t="str">
        <f>IFERROR(VLOOKUP(B339&amp;C339,'Banco de Dados'!$I$3:$L$1006,4,FALSE),"")</f>
        <v/>
      </c>
      <c r="F339" s="11" t="str">
        <f>IFERROR(VLOOKUP(B339&amp;C339,'Banco de Dados'!$I$3:$L$1006,3,FALSE),"")</f>
        <v/>
      </c>
    </row>
    <row r="340" spans="5:6" x14ac:dyDescent="0.25">
      <c r="E340" s="11" t="str">
        <f>IFERROR(VLOOKUP(B340&amp;C340,'Banco de Dados'!$I$3:$L$1006,4,FALSE),"")</f>
        <v/>
      </c>
      <c r="F340" s="11" t="str">
        <f>IFERROR(VLOOKUP(B340&amp;C340,'Banco de Dados'!$I$3:$L$1006,3,FALSE),"")</f>
        <v/>
      </c>
    </row>
    <row r="341" spans="5:6" x14ac:dyDescent="0.25">
      <c r="E341" s="11" t="str">
        <f>IFERROR(VLOOKUP(B341&amp;C341,'Banco de Dados'!$I$3:$L$1006,4,FALSE),"")</f>
        <v/>
      </c>
      <c r="F341" s="11" t="str">
        <f>IFERROR(VLOOKUP(B341&amp;C341,'Banco de Dados'!$I$3:$L$1006,3,FALSE),"")</f>
        <v/>
      </c>
    </row>
    <row r="342" spans="5:6" x14ac:dyDescent="0.25">
      <c r="E342" s="11" t="str">
        <f>IFERROR(VLOOKUP(B342&amp;C342,'Banco de Dados'!$I$3:$L$1006,4,FALSE),"")</f>
        <v/>
      </c>
      <c r="F342" s="11" t="str">
        <f>IFERROR(VLOOKUP(B342&amp;C342,'Banco de Dados'!$I$3:$L$1006,3,FALSE),"")</f>
        <v/>
      </c>
    </row>
    <row r="343" spans="5:6" x14ac:dyDescent="0.25">
      <c r="E343" s="11" t="str">
        <f>IFERROR(VLOOKUP(B343&amp;C343,'Banco de Dados'!$I$3:$L$1006,4,FALSE),"")</f>
        <v/>
      </c>
      <c r="F343" s="11" t="str">
        <f>IFERROR(VLOOKUP(B343&amp;C343,'Banco de Dados'!$I$3:$L$1006,3,FALSE),"")</f>
        <v/>
      </c>
    </row>
    <row r="344" spans="5:6" x14ac:dyDescent="0.25">
      <c r="E344" s="11" t="str">
        <f>IFERROR(VLOOKUP(B344&amp;C344,'Banco de Dados'!$I$3:$L$1006,4,FALSE),"")</f>
        <v/>
      </c>
      <c r="F344" s="11" t="str">
        <f>IFERROR(VLOOKUP(B344&amp;C344,'Banco de Dados'!$I$3:$L$1006,3,FALSE),"")</f>
        <v/>
      </c>
    </row>
    <row r="345" spans="5:6" x14ac:dyDescent="0.25">
      <c r="E345" s="11" t="str">
        <f>IFERROR(VLOOKUP(B345&amp;C345,'Banco de Dados'!$I$3:$L$1006,4,FALSE),"")</f>
        <v/>
      </c>
      <c r="F345" s="11" t="str">
        <f>IFERROR(VLOOKUP(B345&amp;C345,'Banco de Dados'!$I$3:$L$1006,3,FALSE),"")</f>
        <v/>
      </c>
    </row>
    <row r="346" spans="5:6" x14ac:dyDescent="0.25">
      <c r="E346" s="11" t="str">
        <f>IFERROR(VLOOKUP(B346&amp;C346,'Banco de Dados'!$I$3:$L$1006,4,FALSE),"")</f>
        <v/>
      </c>
      <c r="F346" s="11" t="str">
        <f>IFERROR(VLOOKUP(B346&amp;C346,'Banco de Dados'!$I$3:$L$1006,3,FALSE),"")</f>
        <v/>
      </c>
    </row>
    <row r="347" spans="5:6" x14ac:dyDescent="0.25">
      <c r="E347" s="11" t="str">
        <f>IFERROR(VLOOKUP(B347&amp;C347,'Banco de Dados'!$I$3:$L$1006,4,FALSE),"")</f>
        <v/>
      </c>
      <c r="F347" s="11" t="str">
        <f>IFERROR(VLOOKUP(B347&amp;C347,'Banco de Dados'!$I$3:$L$1006,3,FALSE),"")</f>
        <v/>
      </c>
    </row>
    <row r="348" spans="5:6" x14ac:dyDescent="0.25">
      <c r="E348" s="11" t="str">
        <f>IFERROR(VLOOKUP(B348&amp;C348,'Banco de Dados'!$I$3:$L$1006,4,FALSE),"")</f>
        <v/>
      </c>
      <c r="F348" s="11" t="str">
        <f>IFERROR(VLOOKUP(B348&amp;C348,'Banco de Dados'!$I$3:$L$1006,3,FALSE),"")</f>
        <v/>
      </c>
    </row>
    <row r="349" spans="5:6" x14ac:dyDescent="0.25">
      <c r="E349" s="11" t="str">
        <f>IFERROR(VLOOKUP(B349&amp;C349,'Banco de Dados'!$I$3:$L$1006,4,FALSE),"")</f>
        <v/>
      </c>
      <c r="F349" s="11" t="str">
        <f>IFERROR(VLOOKUP(B349&amp;C349,'Banco de Dados'!$I$3:$L$1006,3,FALSE),"")</f>
        <v/>
      </c>
    </row>
    <row r="350" spans="5:6" x14ac:dyDescent="0.25">
      <c r="E350" s="11" t="str">
        <f>IFERROR(VLOOKUP(B350&amp;C350,'Banco de Dados'!$I$3:$L$1006,4,FALSE),"")</f>
        <v/>
      </c>
      <c r="F350" s="11" t="str">
        <f>IFERROR(VLOOKUP(B350&amp;C350,'Banco de Dados'!$I$3:$L$1006,3,FALSE),"")</f>
        <v/>
      </c>
    </row>
    <row r="351" spans="5:6" x14ac:dyDescent="0.25">
      <c r="E351" s="11" t="str">
        <f>IFERROR(VLOOKUP(B351&amp;C351,'Banco de Dados'!$I$3:$L$1006,4,FALSE),"")</f>
        <v/>
      </c>
      <c r="F351" s="11" t="str">
        <f>IFERROR(VLOOKUP(B351&amp;C351,'Banco de Dados'!$I$3:$L$1006,3,FALSE),"")</f>
        <v/>
      </c>
    </row>
    <row r="352" spans="5:6" x14ac:dyDescent="0.25">
      <c r="E352" s="11" t="str">
        <f>IFERROR(VLOOKUP(B352&amp;C352,'Banco de Dados'!$I$3:$L$1006,4,FALSE),"")</f>
        <v/>
      </c>
      <c r="F352" s="11" t="str">
        <f>IFERROR(VLOOKUP(B352&amp;C352,'Banco de Dados'!$I$3:$L$1006,3,FALSE),"")</f>
        <v/>
      </c>
    </row>
    <row r="353" spans="5:6" x14ac:dyDescent="0.25">
      <c r="E353" s="11" t="str">
        <f>IFERROR(VLOOKUP(B353&amp;C353,'Banco de Dados'!$I$3:$L$1006,4,FALSE),"")</f>
        <v/>
      </c>
      <c r="F353" s="11" t="str">
        <f>IFERROR(VLOOKUP(B353&amp;C353,'Banco de Dados'!$I$3:$L$1006,3,FALSE),"")</f>
        <v/>
      </c>
    </row>
    <row r="354" spans="5:6" x14ac:dyDescent="0.25">
      <c r="E354" s="11" t="str">
        <f>IFERROR(VLOOKUP(B354&amp;C354,'Banco de Dados'!$I$3:$L$1006,4,FALSE),"")</f>
        <v/>
      </c>
      <c r="F354" s="11" t="str">
        <f>IFERROR(VLOOKUP(B354&amp;C354,'Banco de Dados'!$I$3:$L$1006,3,FALSE),"")</f>
        <v/>
      </c>
    </row>
    <row r="355" spans="5:6" x14ac:dyDescent="0.25">
      <c r="E355" s="11" t="str">
        <f>IFERROR(VLOOKUP(B355&amp;C355,'Banco de Dados'!$I$3:$L$1006,4,FALSE),"")</f>
        <v/>
      </c>
      <c r="F355" s="11" t="str">
        <f>IFERROR(VLOOKUP(B355&amp;C355,'Banco de Dados'!$I$3:$L$1006,3,FALSE),"")</f>
        <v/>
      </c>
    </row>
    <row r="356" spans="5:6" x14ac:dyDescent="0.25">
      <c r="E356" s="11" t="str">
        <f>IFERROR(VLOOKUP(B356&amp;C356,'Banco de Dados'!$I$3:$L$1006,4,FALSE),"")</f>
        <v/>
      </c>
      <c r="F356" s="11" t="str">
        <f>IFERROR(VLOOKUP(B356&amp;C356,'Banco de Dados'!$I$3:$L$1006,3,FALSE),"")</f>
        <v/>
      </c>
    </row>
    <row r="357" spans="5:6" x14ac:dyDescent="0.25">
      <c r="E357" s="11" t="str">
        <f>IFERROR(VLOOKUP(B357&amp;C357,'Banco de Dados'!$I$3:$L$1006,4,FALSE),"")</f>
        <v/>
      </c>
      <c r="F357" s="11" t="str">
        <f>IFERROR(VLOOKUP(B357&amp;C357,'Banco de Dados'!$I$3:$L$1006,3,FALSE),"")</f>
        <v/>
      </c>
    </row>
    <row r="358" spans="5:6" x14ac:dyDescent="0.25">
      <c r="E358" s="11" t="str">
        <f>IFERROR(VLOOKUP(B358&amp;C358,'Banco de Dados'!$I$3:$L$1006,4,FALSE),"")</f>
        <v/>
      </c>
      <c r="F358" s="11" t="str">
        <f>IFERROR(VLOOKUP(B358&amp;C358,'Banco de Dados'!$I$3:$L$1006,3,FALSE),"")</f>
        <v/>
      </c>
    </row>
    <row r="359" spans="5:6" x14ac:dyDescent="0.25">
      <c r="E359" s="11" t="str">
        <f>IFERROR(VLOOKUP(B359&amp;C359,'Banco de Dados'!$I$3:$L$1006,4,FALSE),"")</f>
        <v/>
      </c>
      <c r="F359" s="11" t="str">
        <f>IFERROR(VLOOKUP(B359&amp;C359,'Banco de Dados'!$I$3:$L$1006,3,FALSE),"")</f>
        <v/>
      </c>
    </row>
    <row r="360" spans="5:6" x14ac:dyDescent="0.25">
      <c r="E360" s="11" t="str">
        <f>IFERROR(VLOOKUP(B360&amp;C360,'Banco de Dados'!$I$3:$L$1006,4,FALSE),"")</f>
        <v/>
      </c>
      <c r="F360" s="11" t="str">
        <f>IFERROR(VLOOKUP(B360&amp;C360,'Banco de Dados'!$I$3:$L$1006,3,FALSE),"")</f>
        <v/>
      </c>
    </row>
    <row r="361" spans="5:6" x14ac:dyDescent="0.25">
      <c r="E361" s="11" t="str">
        <f>IFERROR(VLOOKUP(B361&amp;C361,'Banco de Dados'!$I$3:$L$1006,4,FALSE),"")</f>
        <v/>
      </c>
      <c r="F361" s="11" t="str">
        <f>IFERROR(VLOOKUP(B361&amp;C361,'Banco de Dados'!$I$3:$L$1006,3,FALSE),"")</f>
        <v/>
      </c>
    </row>
    <row r="362" spans="5:6" x14ac:dyDescent="0.25">
      <c r="E362" s="11" t="str">
        <f>IFERROR(VLOOKUP(B362&amp;C362,'Banco de Dados'!$I$3:$L$1006,4,FALSE),"")</f>
        <v/>
      </c>
      <c r="F362" s="11" t="str">
        <f>IFERROR(VLOOKUP(B362&amp;C362,'Banco de Dados'!$I$3:$L$1006,3,FALSE),"")</f>
        <v/>
      </c>
    </row>
    <row r="363" spans="5:6" x14ac:dyDescent="0.25">
      <c r="E363" s="11" t="str">
        <f>IFERROR(VLOOKUP(B363&amp;C363,'Banco de Dados'!$I$3:$L$1006,4,FALSE),"")</f>
        <v/>
      </c>
      <c r="F363" s="11" t="str">
        <f>IFERROR(VLOOKUP(B363&amp;C363,'Banco de Dados'!$I$3:$L$1006,3,FALSE),"")</f>
        <v/>
      </c>
    </row>
    <row r="364" spans="5:6" x14ac:dyDescent="0.25">
      <c r="E364" s="11" t="str">
        <f>IFERROR(VLOOKUP(B364&amp;C364,'Banco de Dados'!$I$3:$L$1006,4,FALSE),"")</f>
        <v/>
      </c>
      <c r="F364" s="11" t="str">
        <f>IFERROR(VLOOKUP(B364&amp;C364,'Banco de Dados'!$I$3:$L$1006,3,FALSE),"")</f>
        <v/>
      </c>
    </row>
    <row r="365" spans="5:6" x14ac:dyDescent="0.25">
      <c r="E365" s="11" t="str">
        <f>IFERROR(VLOOKUP(B365&amp;C365,'Banco de Dados'!$I$3:$L$1006,4,FALSE),"")</f>
        <v/>
      </c>
      <c r="F365" s="11" t="str">
        <f>IFERROR(VLOOKUP(B365&amp;C365,'Banco de Dados'!$I$3:$L$1006,3,FALSE),"")</f>
        <v/>
      </c>
    </row>
    <row r="366" spans="5:6" x14ac:dyDescent="0.25">
      <c r="E366" s="11" t="str">
        <f>IFERROR(VLOOKUP(B366&amp;C366,'Banco de Dados'!$I$3:$L$1006,4,FALSE),"")</f>
        <v/>
      </c>
      <c r="F366" s="11" t="str">
        <f>IFERROR(VLOOKUP(B366&amp;C366,'Banco de Dados'!$I$3:$L$1006,3,FALSE),"")</f>
        <v/>
      </c>
    </row>
    <row r="367" spans="5:6" x14ac:dyDescent="0.25">
      <c r="E367" s="11" t="str">
        <f>IFERROR(VLOOKUP(B367&amp;C367,'Banco de Dados'!$I$3:$L$1006,4,FALSE),"")</f>
        <v/>
      </c>
      <c r="F367" s="11" t="str">
        <f>IFERROR(VLOOKUP(B367&amp;C367,'Banco de Dados'!$I$3:$L$1006,3,FALSE),"")</f>
        <v/>
      </c>
    </row>
    <row r="368" spans="5:6" x14ac:dyDescent="0.25">
      <c r="E368" s="11" t="str">
        <f>IFERROR(VLOOKUP(B368&amp;C368,'Banco de Dados'!$I$3:$L$1006,4,FALSE),"")</f>
        <v/>
      </c>
      <c r="F368" s="11" t="str">
        <f>IFERROR(VLOOKUP(B368&amp;C368,'Banco de Dados'!$I$3:$L$1006,3,FALSE),"")</f>
        <v/>
      </c>
    </row>
    <row r="369" spans="5:6" x14ac:dyDescent="0.25">
      <c r="E369" s="11" t="str">
        <f>IFERROR(VLOOKUP(B369&amp;C369,'Banco de Dados'!$I$3:$L$1006,4,FALSE),"")</f>
        <v/>
      </c>
      <c r="F369" s="11" t="str">
        <f>IFERROR(VLOOKUP(B369&amp;C369,'Banco de Dados'!$I$3:$L$1006,3,FALSE),"")</f>
        <v/>
      </c>
    </row>
    <row r="370" spans="5:6" x14ac:dyDescent="0.25">
      <c r="E370" s="11" t="str">
        <f>IFERROR(VLOOKUP(B370&amp;C370,'Banco de Dados'!$I$3:$L$1006,4,FALSE),"")</f>
        <v/>
      </c>
      <c r="F370" s="11" t="str">
        <f>IFERROR(VLOOKUP(B370&amp;C370,'Banco de Dados'!$I$3:$L$1006,3,FALSE),"")</f>
        <v/>
      </c>
    </row>
    <row r="371" spans="5:6" x14ac:dyDescent="0.25">
      <c r="E371" s="11" t="str">
        <f>IFERROR(VLOOKUP(B371&amp;C371,'Banco de Dados'!$I$3:$L$1006,4,FALSE),"")</f>
        <v/>
      </c>
      <c r="F371" s="11" t="str">
        <f>IFERROR(VLOOKUP(B371&amp;C371,'Banco de Dados'!$I$3:$L$1006,3,FALSE),"")</f>
        <v/>
      </c>
    </row>
    <row r="372" spans="5:6" x14ac:dyDescent="0.25">
      <c r="E372" s="11" t="str">
        <f>IFERROR(VLOOKUP(B372&amp;C372,'Banco de Dados'!$I$3:$L$1006,4,FALSE),"")</f>
        <v/>
      </c>
      <c r="F372" s="11" t="str">
        <f>IFERROR(VLOOKUP(B372&amp;C372,'Banco de Dados'!$I$3:$L$1006,3,FALSE),"")</f>
        <v/>
      </c>
    </row>
    <row r="373" spans="5:6" x14ac:dyDescent="0.25">
      <c r="E373" s="11" t="str">
        <f>IFERROR(VLOOKUP(B373&amp;C373,'Banco de Dados'!$I$3:$L$1006,4,FALSE),"")</f>
        <v/>
      </c>
      <c r="F373" s="11" t="str">
        <f>IFERROR(VLOOKUP(B373&amp;C373,'Banco de Dados'!$I$3:$L$1006,3,FALSE),"")</f>
        <v/>
      </c>
    </row>
    <row r="374" spans="5:6" x14ac:dyDescent="0.25">
      <c r="E374" s="11" t="str">
        <f>IFERROR(VLOOKUP(B374&amp;C374,'Banco de Dados'!$I$3:$L$1006,4,FALSE),"")</f>
        <v/>
      </c>
      <c r="F374" s="11" t="str">
        <f>IFERROR(VLOOKUP(B374&amp;C374,'Banco de Dados'!$I$3:$L$1006,3,FALSE),"")</f>
        <v/>
      </c>
    </row>
    <row r="375" spans="5:6" x14ac:dyDescent="0.25">
      <c r="E375" s="11" t="str">
        <f>IFERROR(VLOOKUP(B375&amp;C375,'Banco de Dados'!$I$3:$L$1006,4,FALSE),"")</f>
        <v/>
      </c>
      <c r="F375" s="11" t="str">
        <f>IFERROR(VLOOKUP(B375&amp;C375,'Banco de Dados'!$I$3:$L$1006,3,FALSE),"")</f>
        <v/>
      </c>
    </row>
    <row r="376" spans="5:6" x14ac:dyDescent="0.25">
      <c r="E376" s="11" t="str">
        <f>IFERROR(VLOOKUP(B376&amp;C376,'Banco de Dados'!$I$3:$L$1006,4,FALSE),"")</f>
        <v/>
      </c>
      <c r="F376" s="11" t="str">
        <f>IFERROR(VLOOKUP(B376&amp;C376,'Banco de Dados'!$I$3:$L$1006,3,FALSE),"")</f>
        <v/>
      </c>
    </row>
    <row r="377" spans="5:6" x14ac:dyDescent="0.25">
      <c r="E377" s="11" t="str">
        <f>IFERROR(VLOOKUP(B377&amp;C377,'Banco de Dados'!$I$3:$L$1006,4,FALSE),"")</f>
        <v/>
      </c>
      <c r="F377" s="11" t="str">
        <f>IFERROR(VLOOKUP(B377&amp;C377,'Banco de Dados'!$I$3:$L$1006,3,FALSE),"")</f>
        <v/>
      </c>
    </row>
    <row r="378" spans="5:6" x14ac:dyDescent="0.25">
      <c r="E378" s="11" t="str">
        <f>IFERROR(VLOOKUP(B378&amp;C378,'Banco de Dados'!$I$3:$L$1006,4,FALSE),"")</f>
        <v/>
      </c>
      <c r="F378" s="11" t="str">
        <f>IFERROR(VLOOKUP(B378&amp;C378,'Banco de Dados'!$I$3:$L$1006,3,FALSE),"")</f>
        <v/>
      </c>
    </row>
    <row r="379" spans="5:6" x14ac:dyDescent="0.25">
      <c r="E379" s="11" t="str">
        <f>IFERROR(VLOOKUP(B379&amp;C379,'Banco de Dados'!$I$3:$L$1006,4,FALSE),"")</f>
        <v/>
      </c>
      <c r="F379" s="11" t="str">
        <f>IFERROR(VLOOKUP(B379&amp;C379,'Banco de Dados'!$I$3:$L$1006,3,FALSE),"")</f>
        <v/>
      </c>
    </row>
    <row r="380" spans="5:6" x14ac:dyDescent="0.25">
      <c r="E380" s="11" t="str">
        <f>IFERROR(VLOOKUP(B380&amp;C380,'Banco de Dados'!$I$3:$L$1006,4,FALSE),"")</f>
        <v/>
      </c>
      <c r="F380" s="11" t="str">
        <f>IFERROR(VLOOKUP(B380&amp;C380,'Banco de Dados'!$I$3:$L$1006,3,FALSE),"")</f>
        <v/>
      </c>
    </row>
    <row r="381" spans="5:6" x14ac:dyDescent="0.25">
      <c r="E381" s="11" t="str">
        <f>IFERROR(VLOOKUP(B381&amp;C381,'Banco de Dados'!$I$3:$L$1006,4,FALSE),"")</f>
        <v/>
      </c>
      <c r="F381" s="11" t="str">
        <f>IFERROR(VLOOKUP(B381&amp;C381,'Banco de Dados'!$I$3:$L$1006,3,FALSE),"")</f>
        <v/>
      </c>
    </row>
    <row r="382" spans="5:6" x14ac:dyDescent="0.25">
      <c r="E382" s="11" t="str">
        <f>IFERROR(VLOOKUP(B382&amp;C382,'Banco de Dados'!$I$3:$L$1006,4,FALSE),"")</f>
        <v/>
      </c>
      <c r="F382" s="11" t="str">
        <f>IFERROR(VLOOKUP(B382&amp;C382,'Banco de Dados'!$I$3:$L$1006,3,FALSE),"")</f>
        <v/>
      </c>
    </row>
    <row r="383" spans="5:6" x14ac:dyDescent="0.25">
      <c r="E383" s="11" t="str">
        <f>IFERROR(VLOOKUP(B383&amp;C383,'Banco de Dados'!$I$3:$L$1006,4,FALSE),"")</f>
        <v/>
      </c>
      <c r="F383" s="11" t="str">
        <f>IFERROR(VLOOKUP(B383&amp;C383,'Banco de Dados'!$I$3:$L$1006,3,FALSE),"")</f>
        <v/>
      </c>
    </row>
    <row r="384" spans="5:6" x14ac:dyDescent="0.25">
      <c r="E384" s="11" t="str">
        <f>IFERROR(VLOOKUP(B384&amp;C384,'Banco de Dados'!$I$3:$L$1006,4,FALSE),"")</f>
        <v/>
      </c>
      <c r="F384" s="11" t="str">
        <f>IFERROR(VLOOKUP(B384&amp;C384,'Banco de Dados'!$I$3:$L$1006,3,FALSE),"")</f>
        <v/>
      </c>
    </row>
    <row r="385" spans="5:6" x14ac:dyDescent="0.25">
      <c r="E385" s="11" t="str">
        <f>IFERROR(VLOOKUP(B385&amp;C385,'Banco de Dados'!$I$3:$L$1006,4,FALSE),"")</f>
        <v/>
      </c>
      <c r="F385" s="11" t="str">
        <f>IFERROR(VLOOKUP(B385&amp;C385,'Banco de Dados'!$I$3:$L$1006,3,FALSE),"")</f>
        <v/>
      </c>
    </row>
    <row r="386" spans="5:6" x14ac:dyDescent="0.25">
      <c r="E386" s="11" t="str">
        <f>IFERROR(VLOOKUP(B386&amp;C386,'Banco de Dados'!$I$3:$L$1006,4,FALSE),"")</f>
        <v/>
      </c>
      <c r="F386" s="11" t="str">
        <f>IFERROR(VLOOKUP(B386&amp;C386,'Banco de Dados'!$I$3:$L$1006,3,FALSE),"")</f>
        <v/>
      </c>
    </row>
    <row r="387" spans="5:6" x14ac:dyDescent="0.25">
      <c r="E387" s="11" t="str">
        <f>IFERROR(VLOOKUP(B387&amp;C387,'Banco de Dados'!$I$3:$L$1006,4,FALSE),"")</f>
        <v/>
      </c>
      <c r="F387" s="11" t="str">
        <f>IFERROR(VLOOKUP(B387&amp;C387,'Banco de Dados'!$I$3:$L$1006,3,FALSE),"")</f>
        <v/>
      </c>
    </row>
    <row r="388" spans="5:6" x14ac:dyDescent="0.25">
      <c r="E388" s="11" t="str">
        <f>IFERROR(VLOOKUP(B388&amp;C388,'Banco de Dados'!$I$3:$L$1006,4,FALSE),"")</f>
        <v/>
      </c>
      <c r="F388" s="11" t="str">
        <f>IFERROR(VLOOKUP(B388&amp;C388,'Banco de Dados'!$I$3:$L$1006,3,FALSE),"")</f>
        <v/>
      </c>
    </row>
    <row r="389" spans="5:6" x14ac:dyDescent="0.25">
      <c r="E389" s="11" t="str">
        <f>IFERROR(VLOOKUP(B389&amp;C389,'Banco de Dados'!$I$3:$L$1006,4,FALSE),"")</f>
        <v/>
      </c>
      <c r="F389" s="11" t="str">
        <f>IFERROR(VLOOKUP(B389&amp;C389,'Banco de Dados'!$I$3:$L$1006,3,FALSE),"")</f>
        <v/>
      </c>
    </row>
    <row r="390" spans="5:6" x14ac:dyDescent="0.25">
      <c r="E390" s="11" t="str">
        <f>IFERROR(VLOOKUP(B390&amp;C390,'Banco de Dados'!$I$3:$L$1006,4,FALSE),"")</f>
        <v/>
      </c>
      <c r="F390" s="11" t="str">
        <f>IFERROR(VLOOKUP(B390&amp;C390,'Banco de Dados'!$I$3:$L$1006,3,FALSE),"")</f>
        <v/>
      </c>
    </row>
    <row r="391" spans="5:6" x14ac:dyDescent="0.25">
      <c r="E391" s="11" t="str">
        <f>IFERROR(VLOOKUP(B391&amp;C391,'Banco de Dados'!$I$3:$L$1006,4,FALSE),"")</f>
        <v/>
      </c>
      <c r="F391" s="11" t="str">
        <f>IFERROR(VLOOKUP(B391&amp;C391,'Banco de Dados'!$I$3:$L$1006,3,FALSE),"")</f>
        <v/>
      </c>
    </row>
    <row r="392" spans="5:6" x14ac:dyDescent="0.25">
      <c r="E392" s="11" t="str">
        <f>IFERROR(VLOOKUP(B392&amp;C392,'Banco de Dados'!$I$3:$L$1006,4,FALSE),"")</f>
        <v/>
      </c>
      <c r="F392" s="11" t="str">
        <f>IFERROR(VLOOKUP(B392&amp;C392,'Banco de Dados'!$I$3:$L$1006,3,FALSE),"")</f>
        <v/>
      </c>
    </row>
    <row r="393" spans="5:6" x14ac:dyDescent="0.25">
      <c r="E393" s="11" t="str">
        <f>IFERROR(VLOOKUP(B393&amp;C393,'Banco de Dados'!$I$3:$L$1006,4,FALSE),"")</f>
        <v/>
      </c>
      <c r="F393" s="11" t="str">
        <f>IFERROR(VLOOKUP(B393&amp;C393,'Banco de Dados'!$I$3:$L$1006,3,FALSE),"")</f>
        <v/>
      </c>
    </row>
    <row r="394" spans="5:6" x14ac:dyDescent="0.25">
      <c r="E394" s="11" t="str">
        <f>IFERROR(VLOOKUP(B394&amp;C394,'Banco de Dados'!$I$3:$L$1006,4,FALSE),"")</f>
        <v/>
      </c>
      <c r="F394" s="11" t="str">
        <f>IFERROR(VLOOKUP(B394&amp;C394,'Banco de Dados'!$I$3:$L$1006,3,FALSE),"")</f>
        <v/>
      </c>
    </row>
    <row r="395" spans="5:6" x14ac:dyDescent="0.25">
      <c r="E395" s="11" t="str">
        <f>IFERROR(VLOOKUP(B395&amp;C395,'Banco de Dados'!$I$3:$L$1006,4,FALSE),"")</f>
        <v/>
      </c>
      <c r="F395" s="11" t="str">
        <f>IFERROR(VLOOKUP(B395&amp;C395,'Banco de Dados'!$I$3:$L$1006,3,FALSE),"")</f>
        <v/>
      </c>
    </row>
    <row r="396" spans="5:6" x14ac:dyDescent="0.25">
      <c r="E396" s="11" t="str">
        <f>IFERROR(VLOOKUP(B396&amp;C396,'Banco de Dados'!$I$3:$L$1006,4,FALSE),"")</f>
        <v/>
      </c>
      <c r="F396" s="11" t="str">
        <f>IFERROR(VLOOKUP(B396&amp;C396,'Banco de Dados'!$I$3:$L$1006,3,FALSE),"")</f>
        <v/>
      </c>
    </row>
    <row r="397" spans="5:6" x14ac:dyDescent="0.25">
      <c r="E397" s="11" t="str">
        <f>IFERROR(VLOOKUP(B397&amp;C397,'Banco de Dados'!$I$3:$L$1006,4,FALSE),"")</f>
        <v/>
      </c>
      <c r="F397" s="11" t="str">
        <f>IFERROR(VLOOKUP(B397&amp;C397,'Banco de Dados'!$I$3:$L$1006,3,FALSE),"")</f>
        <v/>
      </c>
    </row>
    <row r="398" spans="5:6" x14ac:dyDescent="0.25">
      <c r="E398" s="11" t="str">
        <f>IFERROR(VLOOKUP(B398&amp;C398,'Banco de Dados'!$I$3:$L$1006,4,FALSE),"")</f>
        <v/>
      </c>
      <c r="F398" s="11" t="str">
        <f>IFERROR(VLOOKUP(B398&amp;C398,'Banco de Dados'!$I$3:$L$1006,3,FALSE),"")</f>
        <v/>
      </c>
    </row>
    <row r="399" spans="5:6" x14ac:dyDescent="0.25">
      <c r="E399" s="11" t="str">
        <f>IFERROR(VLOOKUP(B399&amp;C399,'Banco de Dados'!$I$3:$L$1006,4,FALSE),"")</f>
        <v/>
      </c>
      <c r="F399" s="11" t="str">
        <f>IFERROR(VLOOKUP(B399&amp;C399,'Banco de Dados'!$I$3:$L$1006,3,FALSE),"")</f>
        <v/>
      </c>
    </row>
    <row r="400" spans="5:6" x14ac:dyDescent="0.25">
      <c r="E400" s="11" t="str">
        <f>IFERROR(VLOOKUP(B400&amp;C400,'Banco de Dados'!$I$3:$L$1006,4,FALSE),"")</f>
        <v/>
      </c>
      <c r="F400" s="11" t="str">
        <f>IFERROR(VLOOKUP(B400&amp;C400,'Banco de Dados'!$I$3:$L$1006,3,FALSE),"")</f>
        <v/>
      </c>
    </row>
    <row r="401" spans="5:6" x14ac:dyDescent="0.25">
      <c r="E401" s="11" t="str">
        <f>IFERROR(VLOOKUP(B401&amp;C401,'Banco de Dados'!$I$3:$L$1006,4,FALSE),"")</f>
        <v/>
      </c>
      <c r="F401" s="11" t="str">
        <f>IFERROR(VLOOKUP(B401&amp;C401,'Banco de Dados'!$I$3:$L$1006,3,FALSE),"")</f>
        <v/>
      </c>
    </row>
    <row r="402" spans="5:6" x14ac:dyDescent="0.25">
      <c r="E402" s="11" t="str">
        <f>IFERROR(VLOOKUP(B402&amp;C402,'Banco de Dados'!$I$3:$L$1006,4,FALSE),"")</f>
        <v/>
      </c>
      <c r="F402" s="11" t="str">
        <f>IFERROR(VLOOKUP(B402&amp;C402,'Banco de Dados'!$I$3:$L$1006,3,FALSE),"")</f>
        <v/>
      </c>
    </row>
    <row r="403" spans="5:6" x14ac:dyDescent="0.25">
      <c r="E403" s="11" t="str">
        <f>IFERROR(VLOOKUP(B403&amp;C403,'Banco de Dados'!$I$3:$L$1006,4,FALSE),"")</f>
        <v/>
      </c>
      <c r="F403" s="11" t="str">
        <f>IFERROR(VLOOKUP(B403&amp;C403,'Banco de Dados'!$I$3:$L$1006,3,FALSE),"")</f>
        <v/>
      </c>
    </row>
    <row r="404" spans="5:6" x14ac:dyDescent="0.25">
      <c r="E404" s="11" t="str">
        <f>IFERROR(VLOOKUP(B404&amp;C404,'Banco de Dados'!$I$3:$L$1006,4,FALSE),"")</f>
        <v/>
      </c>
      <c r="F404" s="11" t="str">
        <f>IFERROR(VLOOKUP(B404&amp;C404,'Banco de Dados'!$I$3:$L$1006,3,FALSE),"")</f>
        <v/>
      </c>
    </row>
    <row r="405" spans="5:6" x14ac:dyDescent="0.25">
      <c r="E405" s="11" t="str">
        <f>IFERROR(VLOOKUP(B405&amp;C405,'Banco de Dados'!$I$3:$L$1006,4,FALSE),"")</f>
        <v/>
      </c>
      <c r="F405" s="11" t="str">
        <f>IFERROR(VLOOKUP(B405&amp;C405,'Banco de Dados'!$I$3:$L$1006,3,FALSE),"")</f>
        <v/>
      </c>
    </row>
    <row r="406" spans="5:6" x14ac:dyDescent="0.25">
      <c r="E406" s="11" t="str">
        <f>IFERROR(VLOOKUP(B406&amp;C406,'Banco de Dados'!$I$3:$L$1006,4,FALSE),"")</f>
        <v/>
      </c>
      <c r="F406" s="11" t="str">
        <f>IFERROR(VLOOKUP(B406&amp;C406,'Banco de Dados'!$I$3:$L$1006,3,FALSE),"")</f>
        <v/>
      </c>
    </row>
    <row r="407" spans="5:6" x14ac:dyDescent="0.25">
      <c r="E407" s="11" t="str">
        <f>IFERROR(VLOOKUP(B407&amp;C407,'Banco de Dados'!$I$3:$L$1006,4,FALSE),"")</f>
        <v/>
      </c>
      <c r="F407" s="11" t="str">
        <f>IFERROR(VLOOKUP(B407&amp;C407,'Banco de Dados'!$I$3:$L$1006,3,FALSE),"")</f>
        <v/>
      </c>
    </row>
    <row r="408" spans="5:6" x14ac:dyDescent="0.25">
      <c r="E408" s="11" t="str">
        <f>IFERROR(VLOOKUP(B408&amp;C408,'Banco de Dados'!$I$3:$L$1006,4,FALSE),"")</f>
        <v/>
      </c>
      <c r="F408" s="11" t="str">
        <f>IFERROR(VLOOKUP(B408&amp;C408,'Banco de Dados'!$I$3:$L$1006,3,FALSE),"")</f>
        <v/>
      </c>
    </row>
    <row r="409" spans="5:6" x14ac:dyDescent="0.25">
      <c r="E409" s="11" t="str">
        <f>IFERROR(VLOOKUP(B409&amp;C409,'Banco de Dados'!$I$3:$L$1006,4,FALSE),"")</f>
        <v/>
      </c>
      <c r="F409" s="11" t="str">
        <f>IFERROR(VLOOKUP(B409&amp;C409,'Banco de Dados'!$I$3:$L$1006,3,FALSE),"")</f>
        <v/>
      </c>
    </row>
    <row r="410" spans="5:6" x14ac:dyDescent="0.25">
      <c r="E410" s="11" t="str">
        <f>IFERROR(VLOOKUP(B410&amp;C410,'Banco de Dados'!$I$3:$L$1006,4,FALSE),"")</f>
        <v/>
      </c>
      <c r="F410" s="11" t="str">
        <f>IFERROR(VLOOKUP(B410&amp;C410,'Banco de Dados'!$I$3:$L$1006,3,FALSE),"")</f>
        <v/>
      </c>
    </row>
    <row r="411" spans="5:6" x14ac:dyDescent="0.25">
      <c r="E411" s="11" t="str">
        <f>IFERROR(VLOOKUP(B411&amp;C411,'Banco de Dados'!$I$3:$L$1006,4,FALSE),"")</f>
        <v/>
      </c>
      <c r="F411" s="11" t="str">
        <f>IFERROR(VLOOKUP(B411&amp;C411,'Banco de Dados'!$I$3:$L$1006,3,FALSE),"")</f>
        <v/>
      </c>
    </row>
    <row r="412" spans="5:6" x14ac:dyDescent="0.25">
      <c r="E412" s="11" t="str">
        <f>IFERROR(VLOOKUP(B412&amp;C412,'Banco de Dados'!$I$3:$L$1006,4,FALSE),"")</f>
        <v/>
      </c>
      <c r="F412" s="11" t="str">
        <f>IFERROR(VLOOKUP(B412&amp;C412,'Banco de Dados'!$I$3:$L$1006,3,FALSE),"")</f>
        <v/>
      </c>
    </row>
    <row r="413" spans="5:6" x14ac:dyDescent="0.25">
      <c r="E413" s="11" t="str">
        <f>IFERROR(VLOOKUP(B413&amp;C413,'Banco de Dados'!$I$3:$L$1006,4,FALSE),"")</f>
        <v/>
      </c>
      <c r="F413" s="11" t="str">
        <f>IFERROR(VLOOKUP(B413&amp;C413,'Banco de Dados'!$I$3:$L$1006,3,FALSE),"")</f>
        <v/>
      </c>
    </row>
    <row r="414" spans="5:6" x14ac:dyDescent="0.25">
      <c r="E414" s="11" t="str">
        <f>IFERROR(VLOOKUP(B414&amp;C414,'Banco de Dados'!$I$3:$L$1006,4,FALSE),"")</f>
        <v/>
      </c>
      <c r="F414" s="11" t="str">
        <f>IFERROR(VLOOKUP(B414&amp;C414,'Banco de Dados'!$I$3:$L$1006,3,FALSE),"")</f>
        <v/>
      </c>
    </row>
    <row r="415" spans="5:6" x14ac:dyDescent="0.25">
      <c r="E415" s="11" t="str">
        <f>IFERROR(VLOOKUP(B415&amp;C415,'Banco de Dados'!$I$3:$L$1006,4,FALSE),"")</f>
        <v/>
      </c>
      <c r="F415" s="11" t="str">
        <f>IFERROR(VLOOKUP(B415&amp;C415,'Banco de Dados'!$I$3:$L$1006,3,FALSE),"")</f>
        <v/>
      </c>
    </row>
    <row r="416" spans="5:6" x14ac:dyDescent="0.25">
      <c r="E416" s="11" t="str">
        <f>IFERROR(VLOOKUP(B416&amp;C416,'Banco de Dados'!$I$3:$L$1006,4,FALSE),"")</f>
        <v/>
      </c>
      <c r="F416" s="11" t="str">
        <f>IFERROR(VLOOKUP(B416&amp;C416,'Banco de Dados'!$I$3:$L$1006,3,FALSE),"")</f>
        <v/>
      </c>
    </row>
    <row r="417" spans="5:6" x14ac:dyDescent="0.25">
      <c r="E417" s="11" t="str">
        <f>IFERROR(VLOOKUP(B417&amp;C417,'Banco de Dados'!$I$3:$L$1006,4,FALSE),"")</f>
        <v/>
      </c>
      <c r="F417" s="11" t="str">
        <f>IFERROR(VLOOKUP(B417&amp;C417,'Banco de Dados'!$I$3:$L$1006,3,FALSE),"")</f>
        <v/>
      </c>
    </row>
    <row r="418" spans="5:6" x14ac:dyDescent="0.25">
      <c r="E418" s="11" t="str">
        <f>IFERROR(VLOOKUP(B418&amp;C418,'Banco de Dados'!$I$3:$L$1006,4,FALSE),"")</f>
        <v/>
      </c>
      <c r="F418" s="11" t="str">
        <f>IFERROR(VLOOKUP(B418&amp;C418,'Banco de Dados'!$I$3:$L$1006,3,FALSE),"")</f>
        <v/>
      </c>
    </row>
    <row r="419" spans="5:6" x14ac:dyDescent="0.25">
      <c r="E419" s="11" t="str">
        <f>IFERROR(VLOOKUP(B419&amp;C419,'Banco de Dados'!$I$3:$L$1006,4,FALSE),"")</f>
        <v/>
      </c>
      <c r="F419" s="11" t="str">
        <f>IFERROR(VLOOKUP(B419&amp;C419,'Banco de Dados'!$I$3:$L$1006,3,FALSE),"")</f>
        <v/>
      </c>
    </row>
    <row r="420" spans="5:6" x14ac:dyDescent="0.25">
      <c r="E420" s="11" t="str">
        <f>IFERROR(VLOOKUP(B420&amp;C420,'Banco de Dados'!$I$3:$L$1006,4,FALSE),"")</f>
        <v/>
      </c>
      <c r="F420" s="11" t="str">
        <f>IFERROR(VLOOKUP(B420&amp;C420,'Banco de Dados'!$I$3:$L$1006,3,FALSE),"")</f>
        <v/>
      </c>
    </row>
    <row r="421" spans="5:6" x14ac:dyDescent="0.25">
      <c r="E421" s="11" t="str">
        <f>IFERROR(VLOOKUP(B421&amp;C421,'Banco de Dados'!$I$3:$L$1006,4,FALSE),"")</f>
        <v/>
      </c>
      <c r="F421" s="11" t="str">
        <f>IFERROR(VLOOKUP(B421&amp;C421,'Banco de Dados'!$I$3:$L$1006,3,FALSE),"")</f>
        <v/>
      </c>
    </row>
    <row r="422" spans="5:6" x14ac:dyDescent="0.25">
      <c r="E422" s="11" t="str">
        <f>IFERROR(VLOOKUP(B422&amp;C422,'Banco de Dados'!$I$3:$L$1006,4,FALSE),"")</f>
        <v/>
      </c>
      <c r="F422" s="11" t="str">
        <f>IFERROR(VLOOKUP(B422&amp;C422,'Banco de Dados'!$I$3:$L$1006,3,FALSE),"")</f>
        <v/>
      </c>
    </row>
    <row r="423" spans="5:6" x14ac:dyDescent="0.25">
      <c r="E423" s="11" t="str">
        <f>IFERROR(VLOOKUP(B423&amp;C423,'Banco de Dados'!$I$3:$L$1006,4,FALSE),"")</f>
        <v/>
      </c>
      <c r="F423" s="11" t="str">
        <f>IFERROR(VLOOKUP(B423&amp;C423,'Banco de Dados'!$I$3:$L$1006,3,FALSE),"")</f>
        <v/>
      </c>
    </row>
    <row r="424" spans="5:6" x14ac:dyDescent="0.25">
      <c r="E424" s="11" t="str">
        <f>IFERROR(VLOOKUP(B424&amp;C424,'Banco de Dados'!$I$3:$L$1006,4,FALSE),"")</f>
        <v/>
      </c>
      <c r="F424" s="11" t="str">
        <f>IFERROR(VLOOKUP(B424&amp;C424,'Banco de Dados'!$I$3:$L$1006,3,FALSE),"")</f>
        <v/>
      </c>
    </row>
    <row r="425" spans="5:6" x14ac:dyDescent="0.25">
      <c r="E425" s="11" t="str">
        <f>IFERROR(VLOOKUP(B425&amp;C425,'Banco de Dados'!$I$3:$L$1006,4,FALSE),"")</f>
        <v/>
      </c>
      <c r="F425" s="11" t="str">
        <f>IFERROR(VLOOKUP(B425&amp;C425,'Banco de Dados'!$I$3:$L$1006,3,FALSE),"")</f>
        <v/>
      </c>
    </row>
    <row r="426" spans="5:6" x14ac:dyDescent="0.25">
      <c r="E426" s="11" t="str">
        <f>IFERROR(VLOOKUP(B426&amp;C426,'Banco de Dados'!$I$3:$L$1006,4,FALSE),"")</f>
        <v/>
      </c>
      <c r="F426" s="11" t="str">
        <f>IFERROR(VLOOKUP(B426&amp;C426,'Banco de Dados'!$I$3:$L$1006,3,FALSE),"")</f>
        <v/>
      </c>
    </row>
    <row r="427" spans="5:6" x14ac:dyDescent="0.25">
      <c r="E427" s="11" t="str">
        <f>IFERROR(VLOOKUP(B427&amp;C427,'Banco de Dados'!$I$3:$L$1006,4,FALSE),"")</f>
        <v/>
      </c>
      <c r="F427" s="11" t="str">
        <f>IFERROR(VLOOKUP(B427&amp;C427,'Banco de Dados'!$I$3:$L$1006,3,FALSE),"")</f>
        <v/>
      </c>
    </row>
    <row r="428" spans="5:6" x14ac:dyDescent="0.25">
      <c r="E428" s="11" t="str">
        <f>IFERROR(VLOOKUP(B428&amp;C428,'Banco de Dados'!$I$3:$L$1006,4,FALSE),"")</f>
        <v/>
      </c>
      <c r="F428" s="11" t="str">
        <f>IFERROR(VLOOKUP(B428&amp;C428,'Banco de Dados'!$I$3:$L$1006,3,FALSE),"")</f>
        <v/>
      </c>
    </row>
    <row r="429" spans="5:6" x14ac:dyDescent="0.25">
      <c r="E429" s="11" t="str">
        <f>IFERROR(VLOOKUP(B429&amp;C429,'Banco de Dados'!$I$3:$L$1006,4,FALSE),"")</f>
        <v/>
      </c>
      <c r="F429" s="11" t="str">
        <f>IFERROR(VLOOKUP(B429&amp;C429,'Banco de Dados'!$I$3:$L$1006,3,FALSE),"")</f>
        <v/>
      </c>
    </row>
    <row r="430" spans="5:6" x14ac:dyDescent="0.25">
      <c r="E430" s="11" t="str">
        <f>IFERROR(VLOOKUP(B430&amp;C430,'Banco de Dados'!$I$3:$L$1006,4,FALSE),"")</f>
        <v/>
      </c>
      <c r="F430" s="11" t="str">
        <f>IFERROR(VLOOKUP(B430&amp;C430,'Banco de Dados'!$I$3:$L$1006,3,FALSE),"")</f>
        <v/>
      </c>
    </row>
    <row r="431" spans="5:6" x14ac:dyDescent="0.25">
      <c r="E431" s="11" t="str">
        <f>IFERROR(VLOOKUP(B431&amp;C431,'Banco de Dados'!$I$3:$L$1006,4,FALSE),"")</f>
        <v/>
      </c>
      <c r="F431" s="11" t="str">
        <f>IFERROR(VLOOKUP(B431&amp;C431,'Banco de Dados'!$I$3:$L$1006,3,FALSE),"")</f>
        <v/>
      </c>
    </row>
    <row r="432" spans="5:6" x14ac:dyDescent="0.25">
      <c r="E432" s="11" t="str">
        <f>IFERROR(VLOOKUP(B432&amp;C432,'Banco de Dados'!$I$3:$L$1006,4,FALSE),"")</f>
        <v/>
      </c>
      <c r="F432" s="11" t="str">
        <f>IFERROR(VLOOKUP(B432&amp;C432,'Banco de Dados'!$I$3:$L$1006,3,FALSE),"")</f>
        <v/>
      </c>
    </row>
    <row r="433" spans="5:6" x14ac:dyDescent="0.25">
      <c r="E433" s="11" t="str">
        <f>IFERROR(VLOOKUP(B433&amp;C433,'Banco de Dados'!$I$3:$L$1006,4,FALSE),"")</f>
        <v/>
      </c>
      <c r="F433" s="11" t="str">
        <f>IFERROR(VLOOKUP(B433&amp;C433,'Banco de Dados'!$I$3:$L$1006,3,FALSE),"")</f>
        <v/>
      </c>
    </row>
    <row r="434" spans="5:6" x14ac:dyDescent="0.25">
      <c r="E434" s="11" t="str">
        <f>IFERROR(VLOOKUP(B434&amp;C434,'Banco de Dados'!$I$3:$L$1006,4,FALSE),"")</f>
        <v/>
      </c>
      <c r="F434" s="11" t="str">
        <f>IFERROR(VLOOKUP(B434&amp;C434,'Banco de Dados'!$I$3:$L$1006,3,FALSE),"")</f>
        <v/>
      </c>
    </row>
    <row r="435" spans="5:6" x14ac:dyDescent="0.25">
      <c r="E435" s="11" t="str">
        <f>IFERROR(VLOOKUP(B435&amp;C435,'Banco de Dados'!$I$3:$L$1006,4,FALSE),"")</f>
        <v/>
      </c>
      <c r="F435" s="11" t="str">
        <f>IFERROR(VLOOKUP(B435&amp;C435,'Banco de Dados'!$I$3:$L$1006,3,FALSE),"")</f>
        <v/>
      </c>
    </row>
    <row r="436" spans="5:6" x14ac:dyDescent="0.25">
      <c r="E436" s="11" t="str">
        <f>IFERROR(VLOOKUP(B436&amp;C436,'Banco de Dados'!$I$3:$L$1006,4,FALSE),"")</f>
        <v/>
      </c>
      <c r="F436" s="11" t="str">
        <f>IFERROR(VLOOKUP(B436&amp;C436,'Banco de Dados'!$I$3:$L$1006,3,FALSE),"")</f>
        <v/>
      </c>
    </row>
    <row r="437" spans="5:6" x14ac:dyDescent="0.25">
      <c r="E437" s="11" t="str">
        <f>IFERROR(VLOOKUP(B437&amp;C437,'Banco de Dados'!$I$3:$L$1006,4,FALSE),"")</f>
        <v/>
      </c>
      <c r="F437" s="11" t="str">
        <f>IFERROR(VLOOKUP(B437&amp;C437,'Banco de Dados'!$I$3:$L$1006,3,FALSE),"")</f>
        <v/>
      </c>
    </row>
    <row r="438" spans="5:6" x14ac:dyDescent="0.25">
      <c r="E438" s="11" t="str">
        <f>IFERROR(VLOOKUP(B438&amp;C438,'Banco de Dados'!$I$3:$L$1006,4,FALSE),"")</f>
        <v/>
      </c>
      <c r="F438" s="11" t="str">
        <f>IFERROR(VLOOKUP(B438&amp;C438,'Banco de Dados'!$I$3:$L$1006,3,FALSE),"")</f>
        <v/>
      </c>
    </row>
    <row r="439" spans="5:6" x14ac:dyDescent="0.25">
      <c r="E439" s="11" t="str">
        <f>IFERROR(VLOOKUP(B439&amp;C439,'Banco de Dados'!$I$3:$L$1006,4,FALSE),"")</f>
        <v/>
      </c>
      <c r="F439" s="11" t="str">
        <f>IFERROR(VLOOKUP(B439&amp;C439,'Banco de Dados'!$I$3:$L$1006,3,FALSE),"")</f>
        <v/>
      </c>
    </row>
    <row r="440" spans="5:6" x14ac:dyDescent="0.25">
      <c r="E440" s="11" t="str">
        <f>IFERROR(VLOOKUP(B440&amp;C440,'Banco de Dados'!$I$3:$L$1006,4,FALSE),"")</f>
        <v/>
      </c>
      <c r="F440" s="11" t="str">
        <f>IFERROR(VLOOKUP(B440&amp;C440,'Banco de Dados'!$I$3:$L$1006,3,FALSE),"")</f>
        <v/>
      </c>
    </row>
    <row r="441" spans="5:6" x14ac:dyDescent="0.25">
      <c r="E441" s="11" t="str">
        <f>IFERROR(VLOOKUP(B441&amp;C441,'Banco de Dados'!$I$3:$L$1006,4,FALSE),"")</f>
        <v/>
      </c>
      <c r="F441" s="11" t="str">
        <f>IFERROR(VLOOKUP(B441&amp;C441,'Banco de Dados'!$I$3:$L$1006,3,FALSE),"")</f>
        <v/>
      </c>
    </row>
    <row r="442" spans="5:6" x14ac:dyDescent="0.25">
      <c r="E442" s="11" t="str">
        <f>IFERROR(VLOOKUP(B442&amp;C442,'Banco de Dados'!$I$3:$L$1006,4,FALSE),"")</f>
        <v/>
      </c>
      <c r="F442" s="11" t="str">
        <f>IFERROR(VLOOKUP(B442&amp;C442,'Banco de Dados'!$I$3:$L$1006,3,FALSE),"")</f>
        <v/>
      </c>
    </row>
    <row r="443" spans="5:6" x14ac:dyDescent="0.25">
      <c r="E443" s="11" t="str">
        <f>IFERROR(VLOOKUP(B443&amp;C443,'Banco de Dados'!$I$3:$L$1006,4,FALSE),"")</f>
        <v/>
      </c>
      <c r="F443" s="11" t="str">
        <f>IFERROR(VLOOKUP(B443&amp;C443,'Banco de Dados'!$I$3:$L$1006,3,FALSE),"")</f>
        <v/>
      </c>
    </row>
    <row r="444" spans="5:6" x14ac:dyDescent="0.25">
      <c r="E444" s="11" t="str">
        <f>IFERROR(VLOOKUP(B444&amp;C444,'Banco de Dados'!$I$3:$L$1006,4,FALSE),"")</f>
        <v/>
      </c>
      <c r="F444" s="11" t="str">
        <f>IFERROR(VLOOKUP(B444&amp;C444,'Banco de Dados'!$I$3:$L$1006,3,FALSE),"")</f>
        <v/>
      </c>
    </row>
    <row r="445" spans="5:6" x14ac:dyDescent="0.25">
      <c r="E445" s="11" t="str">
        <f>IFERROR(VLOOKUP(B445&amp;C445,'Banco de Dados'!$I$3:$L$1006,4,FALSE),"")</f>
        <v/>
      </c>
      <c r="F445" s="11" t="str">
        <f>IFERROR(VLOOKUP(B445&amp;C445,'Banco de Dados'!$I$3:$L$1006,3,FALSE),"")</f>
        <v/>
      </c>
    </row>
    <row r="446" spans="5:6" x14ac:dyDescent="0.25">
      <c r="E446" s="11" t="str">
        <f>IFERROR(VLOOKUP(B446&amp;C446,'Banco de Dados'!$I$3:$L$1006,4,FALSE),"")</f>
        <v/>
      </c>
      <c r="F446" s="11" t="str">
        <f>IFERROR(VLOOKUP(B446&amp;C446,'Banco de Dados'!$I$3:$L$1006,3,FALSE),"")</f>
        <v/>
      </c>
    </row>
    <row r="447" spans="5:6" x14ac:dyDescent="0.25">
      <c r="E447" s="11" t="str">
        <f>IFERROR(VLOOKUP(B447&amp;C447,'Banco de Dados'!$I$3:$L$1006,4,FALSE),"")</f>
        <v/>
      </c>
      <c r="F447" s="11" t="str">
        <f>IFERROR(VLOOKUP(B447&amp;C447,'Banco de Dados'!$I$3:$L$1006,3,FALSE),"")</f>
        <v/>
      </c>
    </row>
    <row r="448" spans="5:6" x14ac:dyDescent="0.25">
      <c r="E448" s="11" t="str">
        <f>IFERROR(VLOOKUP(B448&amp;C448,'Banco de Dados'!$I$3:$L$1006,4,FALSE),"")</f>
        <v/>
      </c>
      <c r="F448" s="11" t="str">
        <f>IFERROR(VLOOKUP(B448&amp;C448,'Banco de Dados'!$I$3:$L$1006,3,FALSE),"")</f>
        <v/>
      </c>
    </row>
    <row r="449" spans="5:6" x14ac:dyDescent="0.25">
      <c r="E449" s="11" t="str">
        <f>IFERROR(VLOOKUP(B449&amp;C449,'Banco de Dados'!$I$3:$L$1006,4,FALSE),"")</f>
        <v/>
      </c>
      <c r="F449" s="11" t="str">
        <f>IFERROR(VLOOKUP(B449&amp;C449,'Banco de Dados'!$I$3:$L$1006,3,FALSE),"")</f>
        <v/>
      </c>
    </row>
    <row r="450" spans="5:6" x14ac:dyDescent="0.25">
      <c r="E450" s="11" t="str">
        <f>IFERROR(VLOOKUP(B450&amp;C450,'Banco de Dados'!$I$3:$L$1006,4,FALSE),"")</f>
        <v/>
      </c>
      <c r="F450" s="11" t="str">
        <f>IFERROR(VLOOKUP(B450&amp;C450,'Banco de Dados'!$I$3:$L$1006,3,FALSE),"")</f>
        <v/>
      </c>
    </row>
    <row r="451" spans="5:6" x14ac:dyDescent="0.25">
      <c r="E451" s="11" t="str">
        <f>IFERROR(VLOOKUP(B451&amp;C451,'Banco de Dados'!$I$3:$L$1006,4,FALSE),"")</f>
        <v/>
      </c>
      <c r="F451" s="11" t="str">
        <f>IFERROR(VLOOKUP(B451&amp;C451,'Banco de Dados'!$I$3:$L$1006,3,FALSE),"")</f>
        <v/>
      </c>
    </row>
    <row r="452" spans="5:6" x14ac:dyDescent="0.25">
      <c r="E452" s="11" t="str">
        <f>IFERROR(VLOOKUP(B452&amp;C452,'Banco de Dados'!$I$3:$L$1006,4,FALSE),"")</f>
        <v/>
      </c>
      <c r="F452" s="11" t="str">
        <f>IFERROR(VLOOKUP(B452&amp;C452,'Banco de Dados'!$I$3:$L$1006,3,FALSE),"")</f>
        <v/>
      </c>
    </row>
    <row r="453" spans="5:6" x14ac:dyDescent="0.25">
      <c r="E453" s="11" t="str">
        <f>IFERROR(VLOOKUP(B453&amp;C453,'Banco de Dados'!$I$3:$L$1006,4,FALSE),"")</f>
        <v/>
      </c>
      <c r="F453" s="11" t="str">
        <f>IFERROR(VLOOKUP(B453&amp;C453,'Banco de Dados'!$I$3:$L$1006,3,FALSE),"")</f>
        <v/>
      </c>
    </row>
    <row r="454" spans="5:6" x14ac:dyDescent="0.25">
      <c r="E454" s="11" t="str">
        <f>IFERROR(VLOOKUP(B454&amp;C454,'Banco de Dados'!$I$3:$L$1006,4,FALSE),"")</f>
        <v/>
      </c>
      <c r="F454" s="11" t="str">
        <f>IFERROR(VLOOKUP(B454&amp;C454,'Banco de Dados'!$I$3:$L$1006,3,FALSE),"")</f>
        <v/>
      </c>
    </row>
    <row r="455" spans="5:6" x14ac:dyDescent="0.25">
      <c r="E455" s="11" t="str">
        <f>IFERROR(VLOOKUP(B455&amp;C455,'Banco de Dados'!$I$3:$L$1006,4,FALSE),"")</f>
        <v/>
      </c>
      <c r="F455" s="11" t="str">
        <f>IFERROR(VLOOKUP(B455&amp;C455,'Banco de Dados'!$I$3:$L$1006,3,FALSE),"")</f>
        <v/>
      </c>
    </row>
    <row r="456" spans="5:6" x14ac:dyDescent="0.25">
      <c r="E456" s="11" t="str">
        <f>IFERROR(VLOOKUP(B456&amp;C456,'Banco de Dados'!$I$3:$L$1006,4,FALSE),"")</f>
        <v/>
      </c>
      <c r="F456" s="11" t="str">
        <f>IFERROR(VLOOKUP(B456&amp;C456,'Banco de Dados'!$I$3:$L$1006,3,FALSE),"")</f>
        <v/>
      </c>
    </row>
    <row r="457" spans="5:6" x14ac:dyDescent="0.25">
      <c r="E457" s="11" t="str">
        <f>IFERROR(VLOOKUP(B457&amp;C457,'Banco de Dados'!$I$3:$L$1006,4,FALSE),"")</f>
        <v/>
      </c>
      <c r="F457" s="11" t="str">
        <f>IFERROR(VLOOKUP(B457&amp;C457,'Banco de Dados'!$I$3:$L$1006,3,FALSE),"")</f>
        <v/>
      </c>
    </row>
    <row r="458" spans="5:6" x14ac:dyDescent="0.25">
      <c r="E458" s="11" t="str">
        <f>IFERROR(VLOOKUP(B458&amp;C458,'Banco de Dados'!$I$3:$L$1006,4,FALSE),"")</f>
        <v/>
      </c>
      <c r="F458" s="11" t="str">
        <f>IFERROR(VLOOKUP(B458&amp;C458,'Banco de Dados'!$I$3:$L$1006,3,FALSE),"")</f>
        <v/>
      </c>
    </row>
    <row r="459" spans="5:6" x14ac:dyDescent="0.25">
      <c r="E459" s="11" t="str">
        <f>IFERROR(VLOOKUP(B459&amp;C459,'Banco de Dados'!$I$3:$L$1006,4,FALSE),"")</f>
        <v/>
      </c>
      <c r="F459" s="11" t="str">
        <f>IFERROR(VLOOKUP(B459&amp;C459,'Banco de Dados'!$I$3:$L$1006,3,FALSE),"")</f>
        <v/>
      </c>
    </row>
    <row r="460" spans="5:6" x14ac:dyDescent="0.25">
      <c r="E460" s="11" t="str">
        <f>IFERROR(VLOOKUP(B460&amp;C460,'Banco de Dados'!$I$3:$L$1006,4,FALSE),"")</f>
        <v/>
      </c>
      <c r="F460" s="11" t="str">
        <f>IFERROR(VLOOKUP(B460&amp;C460,'Banco de Dados'!$I$3:$L$1006,3,FALSE),"")</f>
        <v/>
      </c>
    </row>
    <row r="461" spans="5:6" x14ac:dyDescent="0.25">
      <c r="E461" s="11" t="str">
        <f>IFERROR(VLOOKUP(B461&amp;C461,'Banco de Dados'!$I$3:$L$1006,4,FALSE),"")</f>
        <v/>
      </c>
      <c r="F461" s="11" t="str">
        <f>IFERROR(VLOOKUP(B461&amp;C461,'Banco de Dados'!$I$3:$L$1006,3,FALSE),"")</f>
        <v/>
      </c>
    </row>
    <row r="462" spans="5:6" x14ac:dyDescent="0.25">
      <c r="E462" s="11" t="str">
        <f>IFERROR(VLOOKUP(B462&amp;C462,'Banco de Dados'!$I$3:$L$1006,4,FALSE),"")</f>
        <v/>
      </c>
      <c r="F462" s="11" t="str">
        <f>IFERROR(VLOOKUP(B462&amp;C462,'Banco de Dados'!$I$3:$L$1006,3,FALSE),"")</f>
        <v/>
      </c>
    </row>
    <row r="463" spans="5:6" x14ac:dyDescent="0.25">
      <c r="E463" s="11" t="str">
        <f>IFERROR(VLOOKUP(B463&amp;C463,'Banco de Dados'!$I$3:$L$1006,4,FALSE),"")</f>
        <v/>
      </c>
      <c r="F463" s="11" t="str">
        <f>IFERROR(VLOOKUP(B463&amp;C463,'Banco de Dados'!$I$3:$L$1006,3,FALSE),"")</f>
        <v/>
      </c>
    </row>
    <row r="464" spans="5:6" x14ac:dyDescent="0.25">
      <c r="E464" s="11" t="str">
        <f>IFERROR(VLOOKUP(B464&amp;C464,'Banco de Dados'!$I$3:$L$1006,4,FALSE),"")</f>
        <v/>
      </c>
      <c r="F464" s="11" t="str">
        <f>IFERROR(VLOOKUP(B464&amp;C464,'Banco de Dados'!$I$3:$L$1006,3,FALSE),"")</f>
        <v/>
      </c>
    </row>
    <row r="465" spans="5:6" x14ac:dyDescent="0.25">
      <c r="E465" s="11" t="str">
        <f>IFERROR(VLOOKUP(B465&amp;C465,'Banco de Dados'!$I$3:$L$1006,4,FALSE),"")</f>
        <v/>
      </c>
      <c r="F465" s="11" t="str">
        <f>IFERROR(VLOOKUP(B465&amp;C465,'Banco de Dados'!$I$3:$L$1006,3,FALSE),"")</f>
        <v/>
      </c>
    </row>
    <row r="466" spans="5:6" x14ac:dyDescent="0.25">
      <c r="E466" s="11" t="str">
        <f>IFERROR(VLOOKUP(B466&amp;C466,'Banco de Dados'!$I$3:$L$1006,4,FALSE),"")</f>
        <v/>
      </c>
      <c r="F466" s="11" t="str">
        <f>IFERROR(VLOOKUP(B466&amp;C466,'Banco de Dados'!$I$3:$L$1006,3,FALSE),"")</f>
        <v/>
      </c>
    </row>
    <row r="467" spans="5:6" x14ac:dyDescent="0.25">
      <c r="E467" s="11" t="str">
        <f>IFERROR(VLOOKUP(B467&amp;C467,'Banco de Dados'!$I$3:$L$1006,4,FALSE),"")</f>
        <v/>
      </c>
      <c r="F467" s="11" t="str">
        <f>IFERROR(VLOOKUP(B467&amp;C467,'Banco de Dados'!$I$3:$L$1006,3,FALSE),"")</f>
        <v/>
      </c>
    </row>
    <row r="468" spans="5:6" x14ac:dyDescent="0.25">
      <c r="E468" s="11" t="str">
        <f>IFERROR(VLOOKUP(B468&amp;C468,'Banco de Dados'!$I$3:$L$1006,4,FALSE),"")</f>
        <v/>
      </c>
      <c r="F468" s="11" t="str">
        <f>IFERROR(VLOOKUP(B468&amp;C468,'Banco de Dados'!$I$3:$L$1006,3,FALSE),"")</f>
        <v/>
      </c>
    </row>
    <row r="469" spans="5:6" x14ac:dyDescent="0.25">
      <c r="E469" s="11" t="str">
        <f>IFERROR(VLOOKUP(B469&amp;C469,'Banco de Dados'!$I$3:$L$1006,4,FALSE),"")</f>
        <v/>
      </c>
      <c r="F469" s="11" t="str">
        <f>IFERROR(VLOOKUP(B469&amp;C469,'Banco de Dados'!$I$3:$L$1006,3,FALSE),"")</f>
        <v/>
      </c>
    </row>
    <row r="470" spans="5:6" x14ac:dyDescent="0.25">
      <c r="E470" s="11" t="str">
        <f>IFERROR(VLOOKUP(B470&amp;C470,'Banco de Dados'!$I$3:$L$1006,4,FALSE),"")</f>
        <v/>
      </c>
      <c r="F470" s="11" t="str">
        <f>IFERROR(VLOOKUP(B470&amp;C470,'Banco de Dados'!$I$3:$L$1006,3,FALSE),"")</f>
        <v/>
      </c>
    </row>
    <row r="471" spans="5:6" x14ac:dyDescent="0.25">
      <c r="E471" s="11" t="str">
        <f>IFERROR(VLOOKUP(B471&amp;C471,'Banco de Dados'!$I$3:$L$1006,4,FALSE),"")</f>
        <v/>
      </c>
      <c r="F471" s="11" t="str">
        <f>IFERROR(VLOOKUP(B471&amp;C471,'Banco de Dados'!$I$3:$L$1006,3,FALSE),"")</f>
        <v/>
      </c>
    </row>
    <row r="472" spans="5:6" x14ac:dyDescent="0.25">
      <c r="E472" s="11" t="str">
        <f>IFERROR(VLOOKUP(B472&amp;C472,'Banco de Dados'!$I$3:$L$1006,4,FALSE),"")</f>
        <v/>
      </c>
      <c r="F472" s="11" t="str">
        <f>IFERROR(VLOOKUP(B472&amp;C472,'Banco de Dados'!$I$3:$L$1006,3,FALSE),"")</f>
        <v/>
      </c>
    </row>
    <row r="473" spans="5:6" x14ac:dyDescent="0.25">
      <c r="E473" s="11" t="str">
        <f>IFERROR(VLOOKUP(B473&amp;C473,'Banco de Dados'!$I$3:$L$1006,4,FALSE),"")</f>
        <v/>
      </c>
      <c r="F473" s="11" t="str">
        <f>IFERROR(VLOOKUP(B473&amp;C473,'Banco de Dados'!$I$3:$L$1006,3,FALSE),"")</f>
        <v/>
      </c>
    </row>
    <row r="474" spans="5:6" x14ac:dyDescent="0.25">
      <c r="E474" s="11" t="str">
        <f>IFERROR(VLOOKUP(B474&amp;C474,'Banco de Dados'!$I$3:$L$1006,4,FALSE),"")</f>
        <v/>
      </c>
      <c r="F474" s="11" t="str">
        <f>IFERROR(VLOOKUP(B474&amp;C474,'Banco de Dados'!$I$3:$L$1006,3,FALSE),"")</f>
        <v/>
      </c>
    </row>
    <row r="475" spans="5:6" x14ac:dyDescent="0.25">
      <c r="E475" s="11" t="str">
        <f>IFERROR(VLOOKUP(B475&amp;C475,'Banco de Dados'!$I$3:$L$1006,4,FALSE),"")</f>
        <v/>
      </c>
      <c r="F475" s="11" t="str">
        <f>IFERROR(VLOOKUP(B475&amp;C475,'Banco de Dados'!$I$3:$L$1006,3,FALSE),"")</f>
        <v/>
      </c>
    </row>
    <row r="476" spans="5:6" x14ac:dyDescent="0.25">
      <c r="E476" s="11" t="str">
        <f>IFERROR(VLOOKUP(B476&amp;C476,'Banco de Dados'!$I$3:$L$1006,4,FALSE),"")</f>
        <v/>
      </c>
      <c r="F476" s="11" t="str">
        <f>IFERROR(VLOOKUP(B476&amp;C476,'Banco de Dados'!$I$3:$L$1006,3,FALSE),"")</f>
        <v/>
      </c>
    </row>
    <row r="477" spans="5:6" x14ac:dyDescent="0.25">
      <c r="E477" s="11" t="str">
        <f>IFERROR(VLOOKUP(B477&amp;C477,'Banco de Dados'!$I$3:$L$1006,4,FALSE),"")</f>
        <v/>
      </c>
      <c r="F477" s="11" t="str">
        <f>IFERROR(VLOOKUP(B477&amp;C477,'Banco de Dados'!$I$3:$L$1006,3,FALSE),"")</f>
        <v/>
      </c>
    </row>
    <row r="478" spans="5:6" x14ac:dyDescent="0.25">
      <c r="E478" s="11" t="str">
        <f>IFERROR(VLOOKUP(B478&amp;C478,'Banco de Dados'!$I$3:$L$1006,4,FALSE),"")</f>
        <v/>
      </c>
      <c r="F478" s="11" t="str">
        <f>IFERROR(VLOOKUP(B478&amp;C478,'Banco de Dados'!$I$3:$L$1006,3,FALSE),"")</f>
        <v/>
      </c>
    </row>
    <row r="479" spans="5:6" x14ac:dyDescent="0.25">
      <c r="E479" s="11" t="str">
        <f>IFERROR(VLOOKUP(B479&amp;C479,'Banco de Dados'!$I$3:$L$1006,4,FALSE),"")</f>
        <v/>
      </c>
      <c r="F479" s="11" t="str">
        <f>IFERROR(VLOOKUP(B479&amp;C479,'Banco de Dados'!$I$3:$L$1006,3,FALSE),"")</f>
        <v/>
      </c>
    </row>
    <row r="480" spans="5:6" x14ac:dyDescent="0.25">
      <c r="E480" s="11" t="str">
        <f>IFERROR(VLOOKUP(B480&amp;C480,'Banco de Dados'!$I$3:$L$1006,4,FALSE),"")</f>
        <v/>
      </c>
      <c r="F480" s="11" t="str">
        <f>IFERROR(VLOOKUP(B480&amp;C480,'Banco de Dados'!$I$3:$L$1006,3,FALSE),"")</f>
        <v/>
      </c>
    </row>
    <row r="481" spans="5:6" x14ac:dyDescent="0.25">
      <c r="E481" s="11" t="str">
        <f>IFERROR(VLOOKUP(B481&amp;C481,'Banco de Dados'!$I$3:$L$1006,4,FALSE),"")</f>
        <v/>
      </c>
      <c r="F481" s="11" t="str">
        <f>IFERROR(VLOOKUP(B481&amp;C481,'Banco de Dados'!$I$3:$L$1006,3,FALSE),"")</f>
        <v/>
      </c>
    </row>
    <row r="482" spans="5:6" x14ac:dyDescent="0.25">
      <c r="E482" s="11" t="str">
        <f>IFERROR(VLOOKUP(B482&amp;C482,'Banco de Dados'!$I$3:$L$1006,4,FALSE),"")</f>
        <v/>
      </c>
      <c r="F482" s="11" t="str">
        <f>IFERROR(VLOOKUP(B482&amp;C482,'Banco de Dados'!$I$3:$L$1006,3,FALSE),"")</f>
        <v/>
      </c>
    </row>
    <row r="483" spans="5:6" x14ac:dyDescent="0.25">
      <c r="E483" s="11" t="str">
        <f>IFERROR(VLOOKUP(B483&amp;C483,'Banco de Dados'!$I$3:$L$1006,4,FALSE),"")</f>
        <v/>
      </c>
      <c r="F483" s="11" t="str">
        <f>IFERROR(VLOOKUP(B483&amp;C483,'Banco de Dados'!$I$3:$L$1006,3,FALSE),"")</f>
        <v/>
      </c>
    </row>
    <row r="484" spans="5:6" x14ac:dyDescent="0.25">
      <c r="E484" s="11" t="str">
        <f>IFERROR(VLOOKUP(B484&amp;C484,'Banco de Dados'!$I$3:$L$1006,4,FALSE),"")</f>
        <v/>
      </c>
      <c r="F484" s="11" t="str">
        <f>IFERROR(VLOOKUP(B484&amp;C484,'Banco de Dados'!$I$3:$L$1006,3,FALSE),"")</f>
        <v/>
      </c>
    </row>
    <row r="485" spans="5:6" x14ac:dyDescent="0.25">
      <c r="E485" s="11" t="str">
        <f>IFERROR(VLOOKUP(B485&amp;C485,'Banco de Dados'!$I$3:$L$1006,4,FALSE),"")</f>
        <v/>
      </c>
      <c r="F485" s="11" t="str">
        <f>IFERROR(VLOOKUP(B485&amp;C485,'Banco de Dados'!$I$3:$L$1006,3,FALSE),"")</f>
        <v/>
      </c>
    </row>
    <row r="486" spans="5:6" x14ac:dyDescent="0.25">
      <c r="E486" s="11" t="str">
        <f>IFERROR(VLOOKUP(B486&amp;C486,'Banco de Dados'!$I$3:$L$1006,4,FALSE),"")</f>
        <v/>
      </c>
      <c r="F486" s="11" t="str">
        <f>IFERROR(VLOOKUP(B486&amp;C486,'Banco de Dados'!$I$3:$L$1006,3,FALSE),"")</f>
        <v/>
      </c>
    </row>
    <row r="487" spans="5:6" x14ac:dyDescent="0.25">
      <c r="E487" s="11" t="str">
        <f>IFERROR(VLOOKUP(B487&amp;C487,'Banco de Dados'!$I$3:$L$1006,4,FALSE),"")</f>
        <v/>
      </c>
      <c r="F487" s="11" t="str">
        <f>IFERROR(VLOOKUP(B487&amp;C487,'Banco de Dados'!$I$3:$L$1006,3,FALSE),"")</f>
        <v/>
      </c>
    </row>
    <row r="488" spans="5:6" x14ac:dyDescent="0.25">
      <c r="E488" s="11" t="str">
        <f>IFERROR(VLOOKUP(B488&amp;C488,'Banco de Dados'!$I$3:$L$1006,4,FALSE),"")</f>
        <v/>
      </c>
      <c r="F488" s="11" t="str">
        <f>IFERROR(VLOOKUP(B488&amp;C488,'Banco de Dados'!$I$3:$L$1006,3,FALSE),"")</f>
        <v/>
      </c>
    </row>
    <row r="489" spans="5:6" x14ac:dyDescent="0.25">
      <c r="E489" s="11" t="str">
        <f>IFERROR(VLOOKUP(B489&amp;C489,'Banco de Dados'!$I$3:$L$1006,4,FALSE),"")</f>
        <v/>
      </c>
      <c r="F489" s="11" t="str">
        <f>IFERROR(VLOOKUP(B489&amp;C489,'Banco de Dados'!$I$3:$L$1006,3,FALSE),"")</f>
        <v/>
      </c>
    </row>
    <row r="490" spans="5:6" x14ac:dyDescent="0.25">
      <c r="E490" s="11" t="str">
        <f>IFERROR(VLOOKUP(B490&amp;C490,'Banco de Dados'!$I$3:$L$1006,4,FALSE),"")</f>
        <v/>
      </c>
      <c r="F490" s="11" t="str">
        <f>IFERROR(VLOOKUP(B490&amp;C490,'Banco de Dados'!$I$3:$L$1006,3,FALSE),"")</f>
        <v/>
      </c>
    </row>
    <row r="491" spans="5:6" x14ac:dyDescent="0.25">
      <c r="E491" s="11" t="str">
        <f>IFERROR(VLOOKUP(B491&amp;C491,'Banco de Dados'!$I$3:$L$1006,4,FALSE),"")</f>
        <v/>
      </c>
      <c r="F491" s="11" t="str">
        <f>IFERROR(VLOOKUP(B491&amp;C491,'Banco de Dados'!$I$3:$L$1006,3,FALSE),"")</f>
        <v/>
      </c>
    </row>
    <row r="492" spans="5:6" x14ac:dyDescent="0.25">
      <c r="E492" s="11" t="str">
        <f>IFERROR(VLOOKUP(B492&amp;C492,'Banco de Dados'!$I$3:$L$1006,4,FALSE),"")</f>
        <v/>
      </c>
      <c r="F492" s="11" t="str">
        <f>IFERROR(VLOOKUP(B492&amp;C492,'Banco de Dados'!$I$3:$L$1006,3,FALSE),"")</f>
        <v/>
      </c>
    </row>
    <row r="493" spans="5:6" x14ac:dyDescent="0.25">
      <c r="E493" s="11" t="str">
        <f>IFERROR(VLOOKUP(B493&amp;C493,'Banco de Dados'!$I$3:$L$1006,4,FALSE),"")</f>
        <v/>
      </c>
      <c r="F493" s="11" t="str">
        <f>IFERROR(VLOOKUP(B493&amp;C493,'Banco de Dados'!$I$3:$L$1006,3,FALSE),"")</f>
        <v/>
      </c>
    </row>
    <row r="494" spans="5:6" x14ac:dyDescent="0.25">
      <c r="E494" s="11" t="str">
        <f>IFERROR(VLOOKUP(B494&amp;C494,'Banco de Dados'!$I$3:$L$1006,4,FALSE),"")</f>
        <v/>
      </c>
      <c r="F494" s="11" t="str">
        <f>IFERROR(VLOOKUP(B494&amp;C494,'Banco de Dados'!$I$3:$L$1006,3,FALSE),"")</f>
        <v/>
      </c>
    </row>
    <row r="495" spans="5:6" x14ac:dyDescent="0.25">
      <c r="E495" s="11" t="str">
        <f>IFERROR(VLOOKUP(B495&amp;C495,'Banco de Dados'!$I$3:$L$1006,4,FALSE),"")</f>
        <v/>
      </c>
      <c r="F495" s="11" t="str">
        <f>IFERROR(VLOOKUP(B495&amp;C495,'Banco de Dados'!$I$3:$L$1006,3,FALSE),"")</f>
        <v/>
      </c>
    </row>
    <row r="496" spans="5:6" x14ac:dyDescent="0.25">
      <c r="E496" s="11" t="str">
        <f>IFERROR(VLOOKUP(B496&amp;C496,'Banco de Dados'!$I$3:$L$1006,4,FALSE),"")</f>
        <v/>
      </c>
      <c r="F496" s="11" t="str">
        <f>IFERROR(VLOOKUP(B496&amp;C496,'Banco de Dados'!$I$3:$L$1006,3,FALSE),"")</f>
        <v/>
      </c>
    </row>
    <row r="497" spans="5:6" x14ac:dyDescent="0.25">
      <c r="E497" s="11" t="str">
        <f>IFERROR(VLOOKUP(B497&amp;C497,'Banco de Dados'!$I$3:$L$1006,4,FALSE),"")</f>
        <v/>
      </c>
      <c r="F497" s="11" t="str">
        <f>IFERROR(VLOOKUP(B497&amp;C497,'Banco de Dados'!$I$3:$L$1006,3,FALSE),"")</f>
        <v/>
      </c>
    </row>
    <row r="498" spans="5:6" x14ac:dyDescent="0.25">
      <c r="E498" s="11" t="str">
        <f>IFERROR(VLOOKUP(B498&amp;C498,'Banco de Dados'!$I$3:$L$1006,4,FALSE),"")</f>
        <v/>
      </c>
      <c r="F498" s="11" t="str">
        <f>IFERROR(VLOOKUP(B498&amp;C498,'Banco de Dados'!$I$3:$L$1006,3,FALSE),"")</f>
        <v/>
      </c>
    </row>
    <row r="499" spans="5:6" x14ac:dyDescent="0.25">
      <c r="E499" s="11" t="str">
        <f>IFERROR(VLOOKUP(B499&amp;C499,'Banco de Dados'!$I$3:$L$1006,4,FALSE),"")</f>
        <v/>
      </c>
      <c r="F499" s="11" t="str">
        <f>IFERROR(VLOOKUP(B499&amp;C499,'Banco de Dados'!$I$3:$L$1006,3,FALSE),"")</f>
        <v/>
      </c>
    </row>
    <row r="500" spans="5:6" x14ac:dyDescent="0.25">
      <c r="E500" s="11" t="str">
        <f>IFERROR(VLOOKUP(B500&amp;C500,'Banco de Dados'!$I$3:$L$1006,4,FALSE),"")</f>
        <v/>
      </c>
      <c r="F500" s="11" t="str">
        <f>IFERROR(VLOOKUP(B500&amp;C500,'Banco de Dados'!$I$3:$L$1006,3,FALSE),"")</f>
        <v/>
      </c>
    </row>
    <row r="501" spans="5:6" x14ac:dyDescent="0.25">
      <c r="E501" s="11" t="str">
        <f>IFERROR(VLOOKUP(B501&amp;C501,'Banco de Dados'!$I$3:$L$1006,4,FALSE),"")</f>
        <v/>
      </c>
      <c r="F501" s="11" t="str">
        <f>IFERROR(VLOOKUP(B501&amp;C501,'Banco de Dados'!$I$3:$L$1006,3,FALSE),"")</f>
        <v/>
      </c>
    </row>
    <row r="502" spans="5:6" x14ac:dyDescent="0.25">
      <c r="E502" s="11" t="str">
        <f>IFERROR(VLOOKUP(B502&amp;C502,'Banco de Dados'!$I$3:$L$1006,4,FALSE),"")</f>
        <v/>
      </c>
      <c r="F502" s="11" t="str">
        <f>IFERROR(VLOOKUP(B502&amp;C502,'Banco de Dados'!$I$3:$L$1006,3,FALSE),"")</f>
        <v/>
      </c>
    </row>
    <row r="503" spans="5:6" x14ac:dyDescent="0.25">
      <c r="E503" s="11" t="str">
        <f>IFERROR(VLOOKUP(B503&amp;C503,'Banco de Dados'!$I$3:$L$1006,4,FALSE),"")</f>
        <v/>
      </c>
      <c r="F503" s="11" t="str">
        <f>IFERROR(VLOOKUP(B503&amp;C503,'Banco de Dados'!$I$3:$L$1006,3,FALSE),"")</f>
        <v/>
      </c>
    </row>
    <row r="504" spans="5:6" x14ac:dyDescent="0.25">
      <c r="E504" s="11" t="str">
        <f>IFERROR(VLOOKUP(B504&amp;C504,'Banco de Dados'!$I$3:$L$1006,4,FALSE),"")</f>
        <v/>
      </c>
      <c r="F504" s="11" t="str">
        <f>IFERROR(VLOOKUP(B504&amp;C504,'Banco de Dados'!$I$3:$L$1006,3,FALSE),"")</f>
        <v/>
      </c>
    </row>
    <row r="505" spans="5:6" x14ac:dyDescent="0.25">
      <c r="E505" s="11" t="str">
        <f>IFERROR(VLOOKUP(B505&amp;C505,'Banco de Dados'!$I$3:$L$1006,4,FALSE),"")</f>
        <v/>
      </c>
      <c r="F505" s="11" t="str">
        <f>IFERROR(VLOOKUP(B505&amp;C505,'Banco de Dados'!$I$3:$L$1006,3,FALSE),"")</f>
        <v/>
      </c>
    </row>
    <row r="506" spans="5:6" x14ac:dyDescent="0.25">
      <c r="E506" s="11" t="str">
        <f>IFERROR(VLOOKUP(B506&amp;C506,'Banco de Dados'!$I$3:$L$22,4,FALSE),"")</f>
        <v/>
      </c>
      <c r="F506" s="11" t="str">
        <f>IFERROR(VLOOKUP(B506&amp;C506,'Banco de Dados'!$I$3:$L$1006,3,FALSE),"")</f>
        <v/>
      </c>
    </row>
    <row r="507" spans="5:6" x14ac:dyDescent="0.25">
      <c r="E507" s="11" t="str">
        <f>IFERROR(VLOOKUP(B507&amp;C507,'Banco de Dados'!$I$3:$L$22,4,FALSE),"")</f>
        <v/>
      </c>
      <c r="F507" s="11" t="str">
        <f>IFERROR(VLOOKUP(B507&amp;C507,'Banco de Dados'!$I$3:$L$1006,3,FALSE),"")</f>
        <v/>
      </c>
    </row>
    <row r="508" spans="5:6" x14ac:dyDescent="0.25">
      <c r="E508" s="11" t="str">
        <f>IFERROR(VLOOKUP(B508&amp;C508,'Banco de Dados'!$I$3:$L$22,4,FALSE),"")</f>
        <v/>
      </c>
      <c r="F508" s="11" t="str">
        <f>IFERROR(VLOOKUP(B508&amp;C508,'Banco de Dados'!$I$3:$L$1006,3,FALSE),"")</f>
        <v/>
      </c>
    </row>
    <row r="509" spans="5:6" x14ac:dyDescent="0.25">
      <c r="E509" s="11" t="str">
        <f>IFERROR(VLOOKUP(B509&amp;C509,'Banco de Dados'!$I$3:$L$22,4,FALSE),"")</f>
        <v/>
      </c>
      <c r="F509" s="11" t="str">
        <f>IFERROR(VLOOKUP(B509&amp;C509,'Banco de Dados'!$I$3:$L$1006,3,FALSE),"")</f>
        <v/>
      </c>
    </row>
    <row r="510" spans="5:6" x14ac:dyDescent="0.25">
      <c r="E510" s="11" t="str">
        <f>IFERROR(VLOOKUP(B510&amp;C510,'Banco de Dados'!$I$3:$L$22,4,FALSE),"")</f>
        <v/>
      </c>
      <c r="F510" s="11" t="str">
        <f>IFERROR(VLOOKUP(B510&amp;C510,'Banco de Dados'!$I$3:$L$1006,3,FALSE),"")</f>
        <v/>
      </c>
    </row>
    <row r="511" spans="5:6" x14ac:dyDescent="0.25">
      <c r="E511" s="11" t="str">
        <f>IFERROR(VLOOKUP(B511&amp;C511,'Banco de Dados'!$I$3:$L$22,4,FALSE),"")</f>
        <v/>
      </c>
      <c r="F511" s="11" t="str">
        <f>IFERROR(VLOOKUP(B511&amp;C511,'Banco de Dados'!$I$3:$L$1006,3,FALSE),"")</f>
        <v/>
      </c>
    </row>
    <row r="512" spans="5:6" x14ac:dyDescent="0.25">
      <c r="E512" s="11" t="str">
        <f>IFERROR(VLOOKUP(B512&amp;C512,'Banco de Dados'!$I$3:$L$22,4,FALSE),"")</f>
        <v/>
      </c>
      <c r="F512" s="11" t="str">
        <f>IFERROR(VLOOKUP(B512&amp;C512,'Banco de Dados'!$I$3:$L$1006,3,FALSE),"")</f>
        <v/>
      </c>
    </row>
    <row r="513" spans="5:6" x14ac:dyDescent="0.25">
      <c r="E513" s="11" t="str">
        <f>IFERROR(VLOOKUP(B513&amp;C513,'Banco de Dados'!$I$3:$L$22,4,FALSE),"")</f>
        <v/>
      </c>
      <c r="F513" s="11" t="str">
        <f>IFERROR(VLOOKUP(B513&amp;C513,'Banco de Dados'!$I$3:$L$1006,3,FALSE),"")</f>
        <v/>
      </c>
    </row>
    <row r="514" spans="5:6" x14ac:dyDescent="0.25">
      <c r="E514" s="11" t="str">
        <f>IFERROR(VLOOKUP(B514&amp;C514,'Banco de Dados'!$I$3:$L$22,4,FALSE),"")</f>
        <v/>
      </c>
      <c r="F514" s="11" t="str">
        <f>IFERROR(VLOOKUP(B514&amp;C514,'Banco de Dados'!$I$3:$L$1006,3,FALSE),"")</f>
        <v/>
      </c>
    </row>
    <row r="515" spans="5:6" x14ac:dyDescent="0.25">
      <c r="E515" s="11" t="str">
        <f>IFERROR(VLOOKUP(B515&amp;C515,'Banco de Dados'!$I$3:$L$22,4,FALSE),"")</f>
        <v/>
      </c>
    </row>
    <row r="516" spans="5:6" x14ac:dyDescent="0.25">
      <c r="E516" s="11" t="str">
        <f>IFERROR(VLOOKUP(B516&amp;C516,'Banco de Dados'!$I$3:$L$22,4,FALSE),"")</f>
        <v/>
      </c>
    </row>
    <row r="517" spans="5:6" x14ac:dyDescent="0.25">
      <c r="E517" s="11" t="str">
        <f>IFERROR(VLOOKUP(B517&amp;C517,'Banco de Dados'!$I$3:$L$22,4,FALSE),"")</f>
        <v/>
      </c>
    </row>
    <row r="518" spans="5:6" x14ac:dyDescent="0.25">
      <c r="E518" s="11" t="str">
        <f>IFERROR(VLOOKUP(B518&amp;C518,'Banco de Dados'!$I$3:$L$22,4,FALSE),"")</f>
        <v/>
      </c>
    </row>
    <row r="519" spans="5:6" x14ac:dyDescent="0.25">
      <c r="E519" s="11" t="str">
        <f>IFERROR(VLOOKUP(B519&amp;C519,'Banco de Dados'!$I$3:$L$22,4,FALSE),"")</f>
        <v/>
      </c>
    </row>
    <row r="520" spans="5:6" x14ac:dyDescent="0.25">
      <c r="E520" s="11" t="str">
        <f>IFERROR(VLOOKUP(B520&amp;C520,'Banco de Dados'!$I$3:$L$22,4,FALSE),"")</f>
        <v/>
      </c>
    </row>
    <row r="521" spans="5:6" x14ac:dyDescent="0.25">
      <c r="E521" s="11" t="str">
        <f>IFERROR(VLOOKUP(B521&amp;C521,'Banco de Dados'!$I$3:$L$22,4,FALSE),"")</f>
        <v/>
      </c>
    </row>
    <row r="522" spans="5:6" x14ac:dyDescent="0.25">
      <c r="E522" s="11" t="str">
        <f>IFERROR(VLOOKUP(B522&amp;C522,'Banco de Dados'!$I$3:$L$22,4,FALSE),"")</f>
        <v/>
      </c>
    </row>
    <row r="523" spans="5:6" x14ac:dyDescent="0.25">
      <c r="E523" s="11" t="str">
        <f>IFERROR(VLOOKUP(B523&amp;C523,'Banco de Dados'!$I$3:$L$22,4,FALSE),"")</f>
        <v/>
      </c>
    </row>
    <row r="524" spans="5:6" x14ac:dyDescent="0.25">
      <c r="E524" s="11" t="str">
        <f>IFERROR(VLOOKUP(B524&amp;C524,'Banco de Dados'!$I$3:$L$22,4,FALSE),"")</f>
        <v/>
      </c>
    </row>
  </sheetData>
  <dataConsolidate>
    <dataRefs count="3">
      <dataRef ref="A2:F28" sheet="Despesas"/>
      <dataRef ref="N2:O9" sheet="Despesas"/>
      <dataRef ref="N20:O40" sheet="Despesas"/>
    </dataRefs>
  </dataConsolidate>
  <mergeCells count="9">
    <mergeCell ref="AD6:AG6"/>
    <mergeCell ref="O19:P19"/>
    <mergeCell ref="O17:S17"/>
    <mergeCell ref="O22:P22"/>
    <mergeCell ref="W1:Y1"/>
    <mergeCell ref="O25:Q25"/>
    <mergeCell ref="O28:P28"/>
    <mergeCell ref="N3:O3"/>
    <mergeCell ref="O1:P1"/>
  </mergeCells>
  <dataValidations count="2">
    <dataValidation type="list" allowBlank="1" showInputMessage="1" showErrorMessage="1" sqref="B2:B807">
      <formula1>Fornecedores</formula1>
    </dataValidation>
    <dataValidation type="list" allowBlank="1" showInputMessage="1" showErrorMessage="1" sqref="C2:C807">
      <formula1>INDIRECT(B2)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87" r:id="rId4" name="TextBox10">
          <controlPr defaultSize="0" autoLine="0" r:id="rId5">
            <anchor moveWithCells="1">
              <from>
                <xdr:col>28</xdr:col>
                <xdr:colOff>409575</xdr:colOff>
                <xdr:row>6</xdr:row>
                <xdr:rowOff>57150</xdr:rowOff>
              </from>
              <to>
                <xdr:col>34</xdr:col>
                <xdr:colOff>419100</xdr:colOff>
                <xdr:row>7</xdr:row>
                <xdr:rowOff>161925</xdr:rowOff>
              </to>
            </anchor>
          </controlPr>
        </control>
      </mc:Choice>
      <mc:Fallback>
        <control shapeId="2087" r:id="rId4" name="TextBox10"/>
      </mc:Fallback>
    </mc:AlternateContent>
    <mc:AlternateContent xmlns:mc="http://schemas.openxmlformats.org/markup-compatibility/2006">
      <mc:Choice Requires="x14">
        <control shapeId="2084" r:id="rId6" name="TextBox9">
          <controlPr autoLine="0" r:id="rId7">
            <anchor moveWithCells="1">
              <from>
                <xdr:col>21</xdr:col>
                <xdr:colOff>600075</xdr:colOff>
                <xdr:row>9</xdr:row>
                <xdr:rowOff>85725</xdr:rowOff>
              </from>
              <to>
                <xdr:col>28</xdr:col>
                <xdr:colOff>180975</xdr:colOff>
                <xdr:row>11</xdr:row>
                <xdr:rowOff>9525</xdr:rowOff>
              </to>
            </anchor>
          </controlPr>
        </control>
      </mc:Choice>
      <mc:Fallback>
        <control shapeId="2084" r:id="rId6" name="TextBox9"/>
      </mc:Fallback>
    </mc:AlternateContent>
    <mc:AlternateContent xmlns:mc="http://schemas.openxmlformats.org/markup-compatibility/2006">
      <mc:Choice Requires="x14">
        <control shapeId="2083" r:id="rId8" name="TextBox8">
          <controlPr autoLine="0" r:id="rId9">
            <anchor moveWithCells="1">
              <from>
                <xdr:col>22</xdr:col>
                <xdr:colOff>9525</xdr:colOff>
                <xdr:row>6</xdr:row>
                <xdr:rowOff>38100</xdr:rowOff>
              </from>
              <to>
                <xdr:col>25</xdr:col>
                <xdr:colOff>600075</xdr:colOff>
                <xdr:row>7</xdr:row>
                <xdr:rowOff>152400</xdr:rowOff>
              </to>
            </anchor>
          </controlPr>
        </control>
      </mc:Choice>
      <mc:Fallback>
        <control shapeId="2083" r:id="rId8" name="TextBox8"/>
      </mc:Fallback>
    </mc:AlternateContent>
    <mc:AlternateContent xmlns:mc="http://schemas.openxmlformats.org/markup-compatibility/2006">
      <mc:Choice Requires="x14">
        <control shapeId="2071" r:id="rId10" name="TextBox7">
          <controlPr defaultSize="0" autoLine="0" r:id="rId11">
            <anchor moveWithCells="1">
              <from>
                <xdr:col>14</xdr:col>
                <xdr:colOff>0</xdr:colOff>
                <xdr:row>39</xdr:row>
                <xdr:rowOff>161925</xdr:rowOff>
              </from>
              <to>
                <xdr:col>16</xdr:col>
                <xdr:colOff>323850</xdr:colOff>
                <xdr:row>41</xdr:row>
                <xdr:rowOff>66675</xdr:rowOff>
              </to>
            </anchor>
          </controlPr>
        </control>
      </mc:Choice>
      <mc:Fallback>
        <control shapeId="2071" r:id="rId10" name="TextBox7"/>
      </mc:Fallback>
    </mc:AlternateContent>
    <mc:AlternateContent xmlns:mc="http://schemas.openxmlformats.org/markup-compatibility/2006">
      <mc:Choice Requires="x14">
        <control shapeId="2070" r:id="rId12" name="TextBox6">
          <controlPr autoLine="0" r:id="rId13">
            <anchor moveWithCells="1">
              <from>
                <xdr:col>14</xdr:col>
                <xdr:colOff>0</xdr:colOff>
                <xdr:row>42</xdr:row>
                <xdr:rowOff>76200</xdr:rowOff>
              </from>
              <to>
                <xdr:col>17</xdr:col>
                <xdr:colOff>323850</xdr:colOff>
                <xdr:row>43</xdr:row>
                <xdr:rowOff>171450</xdr:rowOff>
              </to>
            </anchor>
          </controlPr>
        </control>
      </mc:Choice>
      <mc:Fallback>
        <control shapeId="2070" r:id="rId12" name="TextBox6"/>
      </mc:Fallback>
    </mc:AlternateContent>
    <mc:AlternateContent xmlns:mc="http://schemas.openxmlformats.org/markup-compatibility/2006">
      <mc:Choice Requires="x14">
        <control shapeId="2069" r:id="rId14" name="TextBox5">
          <controlPr defaultSize="0" autoLine="0" r:id="rId15">
            <anchor moveWithCells="1">
              <from>
                <xdr:col>14</xdr:col>
                <xdr:colOff>142875</xdr:colOff>
                <xdr:row>22</xdr:row>
                <xdr:rowOff>47625</xdr:rowOff>
              </from>
              <to>
                <xdr:col>22</xdr:col>
                <xdr:colOff>361950</xdr:colOff>
                <xdr:row>23</xdr:row>
                <xdr:rowOff>180975</xdr:rowOff>
              </to>
            </anchor>
          </controlPr>
        </control>
      </mc:Choice>
      <mc:Fallback>
        <control shapeId="2069" r:id="rId14" name="TextBox5"/>
      </mc:Fallback>
    </mc:AlternateContent>
    <mc:AlternateContent xmlns:mc="http://schemas.openxmlformats.org/markup-compatibility/2006">
      <mc:Choice Requires="x14">
        <control shapeId="2068" r:id="rId16" name="TextBox4">
          <controlPr defaultSize="0" autoLine="0" r:id="rId17">
            <anchor moveWithCells="1">
              <from>
                <xdr:col>14</xdr:col>
                <xdr:colOff>133350</xdr:colOff>
                <xdr:row>19</xdr:row>
                <xdr:rowOff>9525</xdr:rowOff>
              </from>
              <to>
                <xdr:col>19</xdr:col>
                <xdr:colOff>276225</xdr:colOff>
                <xdr:row>20</xdr:row>
                <xdr:rowOff>152400</xdr:rowOff>
              </to>
            </anchor>
          </controlPr>
        </control>
      </mc:Choice>
      <mc:Fallback>
        <control shapeId="2068" r:id="rId16" name="TextBox4"/>
      </mc:Fallback>
    </mc:AlternateContent>
    <mc:AlternateContent xmlns:mc="http://schemas.openxmlformats.org/markup-compatibility/2006">
      <mc:Choice Requires="x14">
        <control shapeId="2065" r:id="rId18" name="TextBox3">
          <controlPr autoLine="0" r:id="rId19">
            <anchor moveWithCells="1">
              <from>
                <xdr:col>22</xdr:col>
                <xdr:colOff>28575</xdr:colOff>
                <xdr:row>3</xdr:row>
                <xdr:rowOff>28575</xdr:rowOff>
              </from>
              <to>
                <xdr:col>28</xdr:col>
                <xdr:colOff>238125</xdr:colOff>
                <xdr:row>4</xdr:row>
                <xdr:rowOff>190500</xdr:rowOff>
              </to>
            </anchor>
          </controlPr>
        </control>
      </mc:Choice>
      <mc:Fallback>
        <control shapeId="2065" r:id="rId18" name="TextBox3"/>
      </mc:Fallback>
    </mc:AlternateContent>
    <mc:AlternateContent xmlns:mc="http://schemas.openxmlformats.org/markup-compatibility/2006">
      <mc:Choice Requires="x14">
        <control shapeId="2055" r:id="rId20" name="TextBox2">
          <controlPr defaultSize="0" autoLine="0" r:id="rId21">
            <anchor moveWithCells="1">
              <from>
                <xdr:col>14</xdr:col>
                <xdr:colOff>9525</xdr:colOff>
                <xdr:row>37</xdr:row>
                <xdr:rowOff>76200</xdr:rowOff>
              </from>
              <to>
                <xdr:col>15</xdr:col>
                <xdr:colOff>361950</xdr:colOff>
                <xdr:row>38</xdr:row>
                <xdr:rowOff>171450</xdr:rowOff>
              </to>
            </anchor>
          </controlPr>
        </control>
      </mc:Choice>
      <mc:Fallback>
        <control shapeId="2055" r:id="rId20" name="TextBox2"/>
      </mc:Fallback>
    </mc:AlternateContent>
    <mc:AlternateContent xmlns:mc="http://schemas.openxmlformats.org/markup-compatibility/2006">
      <mc:Choice Requires="x14">
        <control shapeId="2054" r:id="rId22" name="TextBox1">
          <controlPr defaultSize="0" autoLine="0" r:id="rId23">
            <anchor moveWithCells="1">
              <from>
                <xdr:col>14</xdr:col>
                <xdr:colOff>9525</xdr:colOff>
                <xdr:row>3</xdr:row>
                <xdr:rowOff>38100</xdr:rowOff>
              </from>
              <to>
                <xdr:col>15</xdr:col>
                <xdr:colOff>342900</xdr:colOff>
                <xdr:row>4</xdr:row>
                <xdr:rowOff>133350</xdr:rowOff>
              </to>
            </anchor>
          </controlPr>
        </control>
      </mc:Choice>
      <mc:Fallback>
        <control shapeId="2054" r:id="rId22" name="TextBox1"/>
      </mc:Fallback>
    </mc:AlternateContent>
    <mc:AlternateContent xmlns:mc="http://schemas.openxmlformats.org/markup-compatibility/2006">
      <mc:Choice Requires="x14">
        <control shapeId="2052" r:id="rId24" name="Button 4">
          <controlPr defaultSize="0" print="0" autoFill="0" autoPict="0" macro="[0]!BotãoCapa_Clique">
            <anchor moveWithCells="1" sizeWithCells="1">
              <from>
                <xdr:col>15</xdr:col>
                <xdr:colOff>104775</xdr:colOff>
                <xdr:row>8</xdr:row>
                <xdr:rowOff>0</xdr:rowOff>
              </from>
              <to>
                <xdr:col>17</xdr:col>
                <xdr:colOff>123825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6" r:id="rId25" name="Button 18">
          <controlPr defaultSize="0" print="0" autoFill="0" autoPict="0" macro="[0]!BotãoCadastrarFornecedor_Clique">
            <anchor moveWithCells="1" sizeWithCells="1">
              <from>
                <xdr:col>29</xdr:col>
                <xdr:colOff>381000</xdr:colOff>
                <xdr:row>10</xdr:row>
                <xdr:rowOff>38100</xdr:rowOff>
              </from>
              <to>
                <xdr:col>32</xdr:col>
                <xdr:colOff>495300</xdr:colOff>
                <xdr:row>13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2" r:id="rId26" name="Button 24">
          <controlPr defaultSize="0" print="0" autoFill="0" autoPict="0" macro="[0]!BotãoCadastarServico_Clique">
            <anchor moveWithCells="1" sizeWithCells="1">
              <from>
                <xdr:col>15</xdr:col>
                <xdr:colOff>142875</xdr:colOff>
                <xdr:row>30</xdr:row>
                <xdr:rowOff>161925</xdr:rowOff>
              </from>
              <to>
                <xdr:col>18</xdr:col>
                <xdr:colOff>19050</xdr:colOff>
                <xdr:row>32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4" r:id="rId27" name="Drop Down 26">
          <controlPr defaultSize="0" autoLine="0" autoPict="0">
            <anchor moveWithCells="1">
              <from>
                <xdr:col>14</xdr:col>
                <xdr:colOff>152400</xdr:colOff>
                <xdr:row>28</xdr:row>
                <xdr:rowOff>66675</xdr:rowOff>
              </from>
              <to>
                <xdr:col>18</xdr:col>
                <xdr:colOff>133350</xdr:colOff>
                <xdr:row>29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5" r:id="rId28" name="Drop Down 27">
          <controlPr defaultSize="0" autoLine="0" autoPict="0">
            <anchor moveWithCells="1">
              <from>
                <xdr:col>14</xdr:col>
                <xdr:colOff>152400</xdr:colOff>
                <xdr:row>25</xdr:row>
                <xdr:rowOff>85725</xdr:rowOff>
              </from>
              <to>
                <xdr:col>20</xdr:col>
                <xdr:colOff>314325</xdr:colOff>
                <xdr:row>26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1" r:id="rId29" name="Drop Down 33">
          <controlPr defaultSize="0" autoLine="0" autoPict="0">
            <anchor moveWithCells="1">
              <from>
                <xdr:col>15</xdr:col>
                <xdr:colOff>104775</xdr:colOff>
                <xdr:row>3</xdr:row>
                <xdr:rowOff>47625</xdr:rowOff>
              </from>
              <to>
                <xdr:col>19</xdr:col>
                <xdr:colOff>247650</xdr:colOff>
                <xdr:row>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5" r:id="rId30" name="Drop Down 37">
          <controlPr defaultSize="0" autoLine="0" autoPict="0">
            <anchor moveWithCells="1">
              <from>
                <xdr:col>22</xdr:col>
                <xdr:colOff>0</xdr:colOff>
                <xdr:row>12</xdr:row>
                <xdr:rowOff>123825</xdr:rowOff>
              </from>
              <to>
                <xdr:col>26</xdr:col>
                <xdr:colOff>28575</xdr:colOff>
                <xdr:row>14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6" r:id="rId31" name="Drop Down 38">
          <controlPr defaultSize="0" autoLine="0" autoPict="0">
            <anchor moveWithCells="1">
              <from>
                <xdr:col>28</xdr:col>
                <xdr:colOff>428625</xdr:colOff>
                <xdr:row>3</xdr:row>
                <xdr:rowOff>9525</xdr:rowOff>
              </from>
              <to>
                <xdr:col>32</xdr:col>
                <xdr:colOff>495300</xdr:colOff>
                <xdr:row>4</xdr:row>
                <xdr:rowOff>152400</xdr:rowOff>
              </to>
            </anchor>
          </controlPr>
        </control>
      </mc:Choice>
    </mc:AlternateContent>
  </controls>
  <tableParts count="2">
    <tablePart r:id="rId32"/>
    <tablePart r:id="rId3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'Banco de Dados'!$R$3:$R$4</xm:f>
          </x14:formula1>
          <xm:sqref>J2:J1048576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B58"/>
  <sheetViews>
    <sheetView workbookViewId="0">
      <selection activeCell="J53" sqref="J52:J53"/>
    </sheetView>
  </sheetViews>
  <sheetFormatPr defaultRowHeight="15" x14ac:dyDescent="0.25"/>
  <cols>
    <col min="1" max="1" width="13.7109375" customWidth="1"/>
    <col min="2" max="2" width="12.85546875" customWidth="1"/>
    <col min="5" max="5" width="12.85546875" customWidth="1"/>
    <col min="6" max="6" width="15.85546875" customWidth="1"/>
    <col min="8" max="8" width="23.140625" customWidth="1"/>
    <col min="9" max="9" width="15.42578125" customWidth="1"/>
    <col min="10" max="10" width="10.28515625" customWidth="1"/>
    <col min="18" max="18" width="18.5703125" customWidth="1"/>
    <col min="22" max="22" width="11.7109375" customWidth="1"/>
    <col min="24" max="24" width="20.5703125" customWidth="1"/>
    <col min="26" max="26" width="20.85546875" customWidth="1"/>
    <col min="28" max="28" width="13.140625" customWidth="1"/>
  </cols>
  <sheetData>
    <row r="1" spans="1:28" x14ac:dyDescent="0.25">
      <c r="A1" s="19" t="s">
        <v>15</v>
      </c>
      <c r="B1" s="19"/>
    </row>
    <row r="2" spans="1:28" x14ac:dyDescent="0.25">
      <c r="B2" t="s">
        <v>16</v>
      </c>
      <c r="C2" t="s">
        <v>79</v>
      </c>
      <c r="D2" t="s">
        <v>80</v>
      </c>
      <c r="E2" t="s">
        <v>81</v>
      </c>
      <c r="F2" t="s">
        <v>82</v>
      </c>
      <c r="G2" t="s">
        <v>83</v>
      </c>
      <c r="H2" t="s">
        <v>84</v>
      </c>
      <c r="I2" t="s">
        <v>4</v>
      </c>
      <c r="J2" t="s">
        <v>0</v>
      </c>
      <c r="K2" t="s">
        <v>8</v>
      </c>
      <c r="L2" t="s">
        <v>25</v>
      </c>
      <c r="R2" t="s">
        <v>38</v>
      </c>
      <c r="T2" t="s">
        <v>8</v>
      </c>
      <c r="V2" t="s">
        <v>41</v>
      </c>
      <c r="X2" t="s">
        <v>54</v>
      </c>
      <c r="Z2" t="s">
        <v>82</v>
      </c>
      <c r="AB2" t="s">
        <v>83</v>
      </c>
    </row>
    <row r="3" spans="1:28" x14ac:dyDescent="0.25">
      <c r="B3" t="s">
        <v>17</v>
      </c>
      <c r="J3" t="s">
        <v>17</v>
      </c>
      <c r="R3" t="s">
        <v>37</v>
      </c>
      <c r="T3" t="s">
        <v>78</v>
      </c>
      <c r="V3" t="s">
        <v>13</v>
      </c>
      <c r="X3" s="32" t="s">
        <v>72</v>
      </c>
      <c r="Z3" t="s">
        <v>88</v>
      </c>
      <c r="AB3" t="s">
        <v>90</v>
      </c>
    </row>
    <row r="4" spans="1:28" x14ac:dyDescent="0.25">
      <c r="B4" t="s">
        <v>18</v>
      </c>
      <c r="I4" t="str">
        <f>$J$3&amp;J4</f>
        <v>Forn1Des1</v>
      </c>
      <c r="J4" t="s">
        <v>21</v>
      </c>
      <c r="K4" t="s">
        <v>26</v>
      </c>
      <c r="L4" t="s">
        <v>29</v>
      </c>
      <c r="R4" t="s">
        <v>39</v>
      </c>
      <c r="T4" t="s">
        <v>77</v>
      </c>
      <c r="V4" t="s">
        <v>14</v>
      </c>
      <c r="X4" s="32" t="s">
        <v>73</v>
      </c>
      <c r="Z4" t="s">
        <v>89</v>
      </c>
      <c r="AB4" t="s">
        <v>91</v>
      </c>
    </row>
    <row r="5" spans="1:28" x14ac:dyDescent="0.25">
      <c r="B5" t="s">
        <v>19</v>
      </c>
      <c r="I5" t="str">
        <f>$J$3&amp;J5</f>
        <v>Forn1Des2</v>
      </c>
      <c r="J5" t="s">
        <v>22</v>
      </c>
      <c r="K5" t="s">
        <v>26</v>
      </c>
      <c r="L5" t="s">
        <v>28</v>
      </c>
      <c r="V5" t="s">
        <v>62</v>
      </c>
      <c r="X5" s="32" t="s">
        <v>74</v>
      </c>
    </row>
    <row r="6" spans="1:28" x14ac:dyDescent="0.25">
      <c r="B6" t="s">
        <v>20</v>
      </c>
      <c r="I6" t="str">
        <f>$J$3&amp;J6</f>
        <v>Forn1Des3</v>
      </c>
      <c r="J6" t="s">
        <v>23</v>
      </c>
      <c r="K6" t="s">
        <v>9</v>
      </c>
      <c r="L6" t="s">
        <v>27</v>
      </c>
      <c r="V6" t="s">
        <v>63</v>
      </c>
      <c r="X6" s="32" t="s">
        <v>75</v>
      </c>
    </row>
    <row r="7" spans="1:28" x14ac:dyDescent="0.25">
      <c r="B7" t="s">
        <v>31</v>
      </c>
      <c r="V7" t="s">
        <v>64</v>
      </c>
      <c r="X7" s="32" t="s">
        <v>76</v>
      </c>
    </row>
    <row r="8" spans="1:28" x14ac:dyDescent="0.25">
      <c r="B8" t="s">
        <v>34</v>
      </c>
      <c r="J8" t="s">
        <v>18</v>
      </c>
      <c r="V8" t="s">
        <v>65</v>
      </c>
    </row>
    <row r="9" spans="1:28" x14ac:dyDescent="0.25">
      <c r="B9" t="s">
        <v>48</v>
      </c>
      <c r="I9" t="str">
        <f t="shared" ref="I9:I12" si="0">$J$8&amp;J9</f>
        <v>Forn2Des1</v>
      </c>
      <c r="J9" t="s">
        <v>21</v>
      </c>
      <c r="K9" t="s">
        <v>26</v>
      </c>
      <c r="L9" t="s">
        <v>29</v>
      </c>
      <c r="V9" t="s">
        <v>66</v>
      </c>
    </row>
    <row r="10" spans="1:28" x14ac:dyDescent="0.25">
      <c r="B10" t="s">
        <v>55</v>
      </c>
      <c r="I10" t="str">
        <f t="shared" si="0"/>
        <v>Forn2Des2</v>
      </c>
      <c r="J10" t="s">
        <v>22</v>
      </c>
      <c r="K10" t="s">
        <v>26</v>
      </c>
      <c r="L10" t="s">
        <v>28</v>
      </c>
      <c r="V10" t="s">
        <v>67</v>
      </c>
    </row>
    <row r="11" spans="1:28" x14ac:dyDescent="0.25">
      <c r="B11" t="s">
        <v>56</v>
      </c>
      <c r="I11" t="str">
        <f t="shared" si="0"/>
        <v>Forn2Des3</v>
      </c>
      <c r="J11" t="s">
        <v>23</v>
      </c>
      <c r="K11" t="s">
        <v>26</v>
      </c>
      <c r="L11" t="s">
        <v>27</v>
      </c>
      <c r="V11" t="s">
        <v>68</v>
      </c>
    </row>
    <row r="12" spans="1:28" x14ac:dyDescent="0.25">
      <c r="B12" t="s">
        <v>57</v>
      </c>
      <c r="I12" t="str">
        <f t="shared" si="0"/>
        <v>Forn2Des4</v>
      </c>
      <c r="J12" t="s">
        <v>24</v>
      </c>
      <c r="K12" t="s">
        <v>9</v>
      </c>
      <c r="L12" t="s">
        <v>28</v>
      </c>
      <c r="V12" t="s">
        <v>69</v>
      </c>
    </row>
    <row r="13" spans="1:28" x14ac:dyDescent="0.25">
      <c r="B13" t="s">
        <v>58</v>
      </c>
      <c r="V13" t="s">
        <v>70</v>
      </c>
    </row>
    <row r="14" spans="1:28" x14ac:dyDescent="0.25">
      <c r="B14" t="s">
        <v>59</v>
      </c>
      <c r="J14" t="s">
        <v>19</v>
      </c>
      <c r="V14" t="s">
        <v>71</v>
      </c>
    </row>
    <row r="15" spans="1:28" x14ac:dyDescent="0.25">
      <c r="B15" t="s">
        <v>60</v>
      </c>
      <c r="I15" t="str">
        <f>$J$14&amp;J9</f>
        <v>Forn3Des1</v>
      </c>
      <c r="J15" t="s">
        <v>21</v>
      </c>
      <c r="K15" t="s">
        <v>26</v>
      </c>
      <c r="L15" t="s">
        <v>28</v>
      </c>
    </row>
    <row r="16" spans="1:28" x14ac:dyDescent="0.25">
      <c r="B16" t="s">
        <v>61</v>
      </c>
      <c r="I16" t="str">
        <f>$J$14&amp;J10</f>
        <v>Forn3Des2</v>
      </c>
      <c r="J16" t="s">
        <v>22</v>
      </c>
      <c r="K16" t="s">
        <v>9</v>
      </c>
      <c r="L16" t="s">
        <v>30</v>
      </c>
    </row>
    <row r="17" spans="9:12" x14ac:dyDescent="0.25">
      <c r="I17" t="str">
        <f>$J$14&amp;J11</f>
        <v>Forn3Des3</v>
      </c>
      <c r="J17" t="s">
        <v>23</v>
      </c>
      <c r="K17" t="s">
        <v>26</v>
      </c>
      <c r="L17" t="s">
        <v>27</v>
      </c>
    </row>
    <row r="19" spans="9:12" x14ac:dyDescent="0.25">
      <c r="J19" t="s">
        <v>20</v>
      </c>
    </row>
    <row r="20" spans="9:12" x14ac:dyDescent="0.25">
      <c r="I20" t="str">
        <f>$J$19&amp;J9</f>
        <v>Forn4Des1</v>
      </c>
      <c r="J20" t="s">
        <v>21</v>
      </c>
      <c r="K20" t="s">
        <v>9</v>
      </c>
      <c r="L20" t="s">
        <v>30</v>
      </c>
    </row>
    <row r="21" spans="9:12" x14ac:dyDescent="0.25">
      <c r="I21" t="str">
        <f>$J$19&amp;J10</f>
        <v>Forn4Des2</v>
      </c>
      <c r="J21" t="s">
        <v>22</v>
      </c>
      <c r="K21" t="s">
        <v>26</v>
      </c>
      <c r="L21" t="s">
        <v>27</v>
      </c>
    </row>
    <row r="22" spans="9:12" x14ac:dyDescent="0.25">
      <c r="I22" t="str">
        <f>$J$19&amp;J11</f>
        <v>Forn4Des3</v>
      </c>
      <c r="J22" t="s">
        <v>23</v>
      </c>
      <c r="K22" t="s">
        <v>26</v>
      </c>
      <c r="L22" t="s">
        <v>27</v>
      </c>
    </row>
    <row r="24" spans="9:12" x14ac:dyDescent="0.25">
      <c r="J24" t="s">
        <v>31</v>
      </c>
    </row>
    <row r="25" spans="9:12" x14ac:dyDescent="0.25">
      <c r="I25" t="str">
        <f>$J$24&amp;J25</f>
        <v>Forn5Des1</v>
      </c>
      <c r="J25" t="s">
        <v>21</v>
      </c>
      <c r="K25" t="s">
        <v>9</v>
      </c>
      <c r="L25" t="s">
        <v>28</v>
      </c>
    </row>
    <row r="26" spans="9:12" x14ac:dyDescent="0.25">
      <c r="I26" t="str">
        <f>$J$24&amp;J26</f>
        <v>Forn5Des2</v>
      </c>
      <c r="J26" t="s">
        <v>22</v>
      </c>
      <c r="K26" t="s">
        <v>26</v>
      </c>
      <c r="L26" t="s">
        <v>27</v>
      </c>
    </row>
    <row r="28" spans="9:12" x14ac:dyDescent="0.25">
      <c r="J28" t="s">
        <v>34</v>
      </c>
    </row>
    <row r="29" spans="9:12" x14ac:dyDescent="0.25">
      <c r="I29" t="str">
        <f>$J$28&amp;J29</f>
        <v>Forn6Des1</v>
      </c>
      <c r="J29" t="s">
        <v>21</v>
      </c>
      <c r="K29" t="s">
        <v>26</v>
      </c>
      <c r="L29" t="s">
        <v>28</v>
      </c>
    </row>
    <row r="30" spans="9:12" x14ac:dyDescent="0.25">
      <c r="I30" t="str">
        <f>$J$28&amp;J30</f>
        <v>Forn6Des2</v>
      </c>
      <c r="J30" t="s">
        <v>22</v>
      </c>
      <c r="K30" t="s">
        <v>26</v>
      </c>
      <c r="L30" t="s">
        <v>27</v>
      </c>
    </row>
    <row r="31" spans="9:12" x14ac:dyDescent="0.25">
      <c r="I31" t="str">
        <f>$J$28&amp;J31</f>
        <v>Forn6Des3</v>
      </c>
      <c r="J31" t="s">
        <v>23</v>
      </c>
      <c r="K31" t="s">
        <v>26</v>
      </c>
      <c r="L31" t="s">
        <v>28</v>
      </c>
    </row>
    <row r="32" spans="9:12" x14ac:dyDescent="0.25">
      <c r="I32" t="str">
        <f>$J$28&amp;J32</f>
        <v>Forn6Des4</v>
      </c>
      <c r="J32" t="s">
        <v>24</v>
      </c>
      <c r="K32" t="s">
        <v>9</v>
      </c>
      <c r="L32" t="s">
        <v>29</v>
      </c>
    </row>
    <row r="34" spans="9:12" x14ac:dyDescent="0.25">
      <c r="J34" t="s">
        <v>48</v>
      </c>
    </row>
    <row r="35" spans="9:12" x14ac:dyDescent="0.25">
      <c r="I35" t="str">
        <f>$J$34&amp;J35</f>
        <v>Forn7Des1</v>
      </c>
      <c r="J35" t="s">
        <v>21</v>
      </c>
      <c r="K35" t="s">
        <v>9</v>
      </c>
      <c r="L35" t="s">
        <v>27</v>
      </c>
    </row>
    <row r="36" spans="9:12" x14ac:dyDescent="0.25">
      <c r="I36" t="str">
        <f>$J$34&amp;J36</f>
        <v>Forn7Des2</v>
      </c>
      <c r="J36" t="s">
        <v>22</v>
      </c>
      <c r="K36" t="s">
        <v>26</v>
      </c>
      <c r="L36" t="s">
        <v>29</v>
      </c>
    </row>
    <row r="38" spans="9:12" x14ac:dyDescent="0.25">
      <c r="J38" t="s">
        <v>55</v>
      </c>
    </row>
    <row r="39" spans="9:12" x14ac:dyDescent="0.25">
      <c r="I39" t="str">
        <f>$J$38&amp;J39</f>
        <v>Forn8Des1</v>
      </c>
      <c r="J39" t="s">
        <v>21</v>
      </c>
      <c r="K39" t="s">
        <v>26</v>
      </c>
      <c r="L39" t="s">
        <v>27</v>
      </c>
    </row>
    <row r="40" spans="9:12" x14ac:dyDescent="0.25">
      <c r="I40" t="str">
        <f>$J$38&amp;J40</f>
        <v>Forn8Des2</v>
      </c>
      <c r="J40" t="s">
        <v>22</v>
      </c>
      <c r="K40" t="s">
        <v>26</v>
      </c>
      <c r="L40" t="s">
        <v>27</v>
      </c>
    </row>
    <row r="42" spans="9:12" x14ac:dyDescent="0.25">
      <c r="J42" t="s">
        <v>56</v>
      </c>
    </row>
    <row r="43" spans="9:12" x14ac:dyDescent="0.25">
      <c r="I43" t="str">
        <f>$J$42&amp;J43</f>
        <v>Forn9Des2</v>
      </c>
      <c r="J43" t="s">
        <v>22</v>
      </c>
      <c r="K43" t="s">
        <v>26</v>
      </c>
      <c r="L43" t="s">
        <v>29</v>
      </c>
    </row>
    <row r="44" spans="9:12" x14ac:dyDescent="0.25">
      <c r="I44" t="str">
        <f>$J$42&amp;J44</f>
        <v>Forn9Des2</v>
      </c>
      <c r="J44" t="s">
        <v>22</v>
      </c>
      <c r="K44" t="s">
        <v>26</v>
      </c>
      <c r="L44" t="s">
        <v>29</v>
      </c>
    </row>
    <row r="45" spans="9:12" x14ac:dyDescent="0.25">
      <c r="I45" t="str">
        <f>$J$42&amp;J45</f>
        <v>Forn9Des1</v>
      </c>
      <c r="J45" t="s">
        <v>21</v>
      </c>
      <c r="K45" t="s">
        <v>26</v>
      </c>
      <c r="L45" t="s">
        <v>27</v>
      </c>
    </row>
    <row r="47" spans="9:12" x14ac:dyDescent="0.25">
      <c r="J47" t="s">
        <v>57</v>
      </c>
    </row>
    <row r="48" spans="9:12" x14ac:dyDescent="0.25">
      <c r="I48" t="str">
        <f>$J$47&amp;J48</f>
        <v>Forn10Des3</v>
      </c>
      <c r="J48" t="s">
        <v>23</v>
      </c>
      <c r="K48" t="s">
        <v>26</v>
      </c>
      <c r="L48" t="s">
        <v>29</v>
      </c>
    </row>
    <row r="49" spans="9:12" x14ac:dyDescent="0.25">
      <c r="I49" t="str">
        <f>$J$47&amp;J49</f>
        <v>Forn10Des2</v>
      </c>
      <c r="J49" t="s">
        <v>22</v>
      </c>
      <c r="K49" t="s">
        <v>26</v>
      </c>
      <c r="L49" t="s">
        <v>29</v>
      </c>
    </row>
    <row r="51" spans="9:12" x14ac:dyDescent="0.25">
      <c r="J51" t="s">
        <v>58</v>
      </c>
    </row>
    <row r="52" spans="9:12" x14ac:dyDescent="0.25">
      <c r="I52" t="str">
        <f>$J$51&amp;J52</f>
        <v>Forn11Des2</v>
      </c>
      <c r="J52" t="s">
        <v>22</v>
      </c>
      <c r="K52" t="s">
        <v>26</v>
      </c>
      <c r="L52" t="s">
        <v>29</v>
      </c>
    </row>
    <row r="53" spans="9:12" x14ac:dyDescent="0.25">
      <c r="I53" t="str">
        <f>$J$51&amp;J53</f>
        <v>Forn11Des3</v>
      </c>
      <c r="J53" t="s">
        <v>23</v>
      </c>
      <c r="K53" t="s">
        <v>26</v>
      </c>
      <c r="L53" t="s">
        <v>29</v>
      </c>
    </row>
    <row r="55" spans="9:12" x14ac:dyDescent="0.25">
      <c r="J55" t="s">
        <v>60</v>
      </c>
    </row>
    <row r="56" spans="9:12" x14ac:dyDescent="0.25">
      <c r="I56" t="str">
        <f>$J$55&amp;J56</f>
        <v>Forn13Des4</v>
      </c>
      <c r="J56" t="s">
        <v>24</v>
      </c>
      <c r="K56" t="s">
        <v>78</v>
      </c>
      <c r="L56" t="s">
        <v>72</v>
      </c>
    </row>
    <row r="57" spans="9:12" x14ac:dyDescent="0.25">
      <c r="I57" t="str">
        <f>$J$55&amp;J57</f>
        <v>Forn13Des3</v>
      </c>
      <c r="J57" t="s">
        <v>23</v>
      </c>
      <c r="K57" t="s">
        <v>9</v>
      </c>
      <c r="L57" t="s">
        <v>29</v>
      </c>
    </row>
    <row r="58" spans="9:12" x14ac:dyDescent="0.25">
      <c r="I58" t="str">
        <f>$J$55&amp;J58</f>
        <v>Forn13Des2</v>
      </c>
      <c r="J58" t="s">
        <v>22</v>
      </c>
      <c r="K58" t="s">
        <v>26</v>
      </c>
      <c r="L58" t="s">
        <v>29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C4:O27"/>
  <sheetViews>
    <sheetView showGridLines="0" workbookViewId="0">
      <selection activeCell="F39" sqref="F39"/>
    </sheetView>
  </sheetViews>
  <sheetFormatPr defaultRowHeight="15" x14ac:dyDescent="0.25"/>
  <cols>
    <col min="3" max="3" width="3.140625" customWidth="1"/>
  </cols>
  <sheetData>
    <row r="4" spans="3:15" x14ac:dyDescent="0.25">
      <c r="C4" s="20" t="s">
        <v>17</v>
      </c>
      <c r="D4" s="20"/>
      <c r="E4" s="20"/>
      <c r="F4" s="20"/>
      <c r="G4" s="20"/>
      <c r="H4" s="20"/>
    </row>
    <row r="5" spans="3:15" x14ac:dyDescent="0.25">
      <c r="F5" t="s">
        <v>43</v>
      </c>
    </row>
    <row r="11" spans="3:15" x14ac:dyDescent="0.25">
      <c r="C11" s="11"/>
      <c r="D11" t="s">
        <v>27</v>
      </c>
      <c r="K11" s="21" t="s">
        <v>86</v>
      </c>
      <c r="L11" s="20"/>
      <c r="M11" s="20"/>
      <c r="N11" s="20"/>
      <c r="O11" s="20"/>
    </row>
    <row r="12" spans="3:15" x14ac:dyDescent="0.25">
      <c r="M12" t="s">
        <v>44</v>
      </c>
    </row>
    <row r="13" spans="3:15" x14ac:dyDescent="0.25">
      <c r="C13" s="11" t="s">
        <v>45</v>
      </c>
      <c r="D13" t="s">
        <v>28</v>
      </c>
    </row>
    <row r="15" spans="3:15" x14ac:dyDescent="0.25">
      <c r="C15" s="11"/>
      <c r="D15" t="s">
        <v>30</v>
      </c>
    </row>
    <row r="19" spans="5:14" x14ac:dyDescent="0.25">
      <c r="E19" s="23" t="s">
        <v>22</v>
      </c>
      <c r="F19" s="24"/>
      <c r="G19" s="24"/>
      <c r="H19" s="24"/>
      <c r="I19" s="24"/>
      <c r="J19" s="25"/>
    </row>
    <row r="20" spans="5:14" x14ac:dyDescent="0.25">
      <c r="E20" s="26"/>
      <c r="F20" s="27"/>
      <c r="G20" s="27"/>
      <c r="H20" s="27"/>
      <c r="I20" s="27"/>
      <c r="J20" s="28"/>
    </row>
    <row r="21" spans="5:14" x14ac:dyDescent="0.25">
      <c r="E21" s="26"/>
      <c r="F21" s="27"/>
      <c r="G21" s="27"/>
      <c r="H21" s="27"/>
      <c r="I21" s="27"/>
      <c r="J21" s="28"/>
    </row>
    <row r="22" spans="5:14" x14ac:dyDescent="0.25">
      <c r="E22" s="26"/>
      <c r="F22" s="27"/>
      <c r="G22" s="27"/>
      <c r="H22" s="27"/>
      <c r="I22" s="27"/>
      <c r="J22" s="28"/>
    </row>
    <row r="23" spans="5:14" x14ac:dyDescent="0.25">
      <c r="E23" s="26"/>
      <c r="F23" s="27"/>
      <c r="G23" s="27"/>
      <c r="H23" s="27"/>
      <c r="I23" s="27"/>
      <c r="J23" s="28"/>
    </row>
    <row r="24" spans="5:14" x14ac:dyDescent="0.25">
      <c r="E24" s="29"/>
      <c r="F24" s="30"/>
      <c r="G24" s="30"/>
      <c r="H24" s="30"/>
      <c r="I24" s="30"/>
      <c r="J24" s="31"/>
    </row>
    <row r="25" spans="5:14" x14ac:dyDescent="0.25">
      <c r="G25" t="s">
        <v>42</v>
      </c>
    </row>
    <row r="26" spans="5:14" x14ac:dyDescent="0.25">
      <c r="M26" s="20">
        <v>123</v>
      </c>
      <c r="N26" s="20"/>
    </row>
    <row r="27" spans="5:14" x14ac:dyDescent="0.25">
      <c r="M27" s="22" t="s">
        <v>10</v>
      </c>
      <c r="N27" s="22"/>
    </row>
  </sheetData>
  <mergeCells count="5">
    <mergeCell ref="C4:H4"/>
    <mergeCell ref="K11:O11"/>
    <mergeCell ref="M26:N26"/>
    <mergeCell ref="M27:N27"/>
    <mergeCell ref="E19:J24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13</vt:i4>
      </vt:variant>
    </vt:vector>
  </HeadingPairs>
  <TitlesOfParts>
    <vt:vector size="18" baseType="lpstr">
      <vt:lpstr>Relatório</vt:lpstr>
      <vt:lpstr>Gráfico</vt:lpstr>
      <vt:lpstr>Despesas</vt:lpstr>
      <vt:lpstr>Banco de Dados</vt:lpstr>
      <vt:lpstr>Capa</vt:lpstr>
      <vt:lpstr>Forn1</vt:lpstr>
      <vt:lpstr>Forn10</vt:lpstr>
      <vt:lpstr>Forn11</vt:lpstr>
      <vt:lpstr>Forn13</vt:lpstr>
      <vt:lpstr>Forn2</vt:lpstr>
      <vt:lpstr>Forn3</vt:lpstr>
      <vt:lpstr>Forn4</vt:lpstr>
      <vt:lpstr>Forn5</vt:lpstr>
      <vt:lpstr>Forn6</vt:lpstr>
      <vt:lpstr>Forn7</vt:lpstr>
      <vt:lpstr>Forn8</vt:lpstr>
      <vt:lpstr>Forn9</vt:lpstr>
      <vt:lpstr>Fornecedores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Figueiredo Marques</dc:creator>
  <cp:lastModifiedBy>Miguel Figuiredo Marques</cp:lastModifiedBy>
  <dcterms:created xsi:type="dcterms:W3CDTF">2016-03-14T18:45:57Z</dcterms:created>
  <dcterms:modified xsi:type="dcterms:W3CDTF">2016-03-21T14:19:11Z</dcterms:modified>
</cp:coreProperties>
</file>