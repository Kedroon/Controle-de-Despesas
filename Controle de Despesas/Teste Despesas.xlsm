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migue\Desktop\"/>
    </mc:Choice>
  </mc:AlternateContent>
  <bookViews>
    <workbookView xWindow="0" yWindow="0" windowWidth="28800" windowHeight="12210" tabRatio="541" activeTab="4"/>
  </bookViews>
  <sheets>
    <sheet name="Planilha2" sheetId="2" r:id="rId1"/>
    <sheet name="Planilha1" sheetId="1" r:id="rId2"/>
    <sheet name="Planilha10" sheetId="10" r:id="rId3"/>
    <sheet name="Planilha13" sheetId="13" r:id="rId4"/>
    <sheet name="Planilha3" sheetId="3" r:id="rId5"/>
  </sheets>
  <definedNames>
    <definedName name="maio">Planilha3!$F$30:$F$42</definedName>
  </definedNames>
  <calcPr calcId="171027"/>
  <pivotCaches>
    <pivotCache cacheId="0" r:id="rId6"/>
    <pivotCache cacheId="71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E4" i="1"/>
</calcChain>
</file>

<file path=xl/sharedStrings.xml><?xml version="1.0" encoding="utf-8"?>
<sst xmlns="http://schemas.openxmlformats.org/spreadsheetml/2006/main" count="329" uniqueCount="56">
  <si>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</si>
  <si>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</si>
  <si>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</si>
  <si>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</si>
  <si>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</si>
  <si>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</si>
  <si>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</si>
  <si>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</si>
  <si>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</si>
  <si>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janeiro</t>
  </si>
  <si>
    <t>fevereiro</t>
  </si>
  <si>
    <t>março</t>
  </si>
  <si>
    <t>forn1</t>
  </si>
  <si>
    <t>serv1</t>
  </si>
  <si>
    <t>serv2</t>
  </si>
  <si>
    <t>serv3</t>
  </si>
  <si>
    <t>valor</t>
  </si>
  <si>
    <t>Soma</t>
  </si>
  <si>
    <t>forn2</t>
  </si>
  <si>
    <t>Despesas</t>
  </si>
  <si>
    <t>forn3</t>
  </si>
  <si>
    <t>forn4</t>
  </si>
  <si>
    <t>forn5</t>
  </si>
  <si>
    <t>Rótulos de Linha</t>
  </si>
  <si>
    <t>Total Geral</t>
  </si>
  <si>
    <t>Fornecedor</t>
  </si>
  <si>
    <t>Despesa</t>
  </si>
  <si>
    <t>serv4</t>
  </si>
  <si>
    <t>serv5</t>
  </si>
  <si>
    <t>serv6</t>
  </si>
  <si>
    <t>pag</t>
  </si>
  <si>
    <t>agu</t>
  </si>
  <si>
    <t>Rótulos de Coluna</t>
  </si>
  <si>
    <t>pagamento</t>
  </si>
  <si>
    <t>(Tudo)</t>
  </si>
  <si>
    <t>serv7</t>
  </si>
  <si>
    <t>serv8</t>
  </si>
  <si>
    <t>forn6</t>
  </si>
  <si>
    <t>serv9</t>
  </si>
  <si>
    <t>serv10</t>
  </si>
  <si>
    <t>serv11</t>
  </si>
  <si>
    <t>forn7</t>
  </si>
  <si>
    <t>serv12</t>
  </si>
  <si>
    <t>serv13</t>
  </si>
  <si>
    <t>vencimento</t>
  </si>
  <si>
    <t>13/12/2016</t>
  </si>
  <si>
    <t>14/12/2016</t>
  </si>
  <si>
    <t>15/12/2016</t>
  </si>
  <si>
    <t>16/12/2016</t>
  </si>
  <si>
    <t>17/12/2016</t>
  </si>
  <si>
    <t>18/12/2016</t>
  </si>
  <si>
    <t>19/12/2016</t>
  </si>
  <si>
    <t>20/12/2016</t>
  </si>
  <si>
    <t>mes</t>
  </si>
  <si>
    <t>marco</t>
  </si>
  <si>
    <t>Favorecido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</si>
</sst>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/m/yy;@"/>
    <numFmt numFmtId="165" formatCode="[$-416]d\-mmm\-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2" borderId="1" xfId="0" applyFont="1" applyFill="1" applyBorder="1"/>
    <xf numFmtId="0" fontId="0" fillId="2" borderId="2" xfId="0" applyFont="1" applyFill="1" applyBorder="1"/>
    <xf numFmtId="0" fontId="0" fillId="0" borderId="2" xfId="0" applyFont="1" applyBorder="1"/>
    <xf numFmtId="0" fontId="0" fillId="0" borderId="1" xfId="0" applyFont="1" applyBorder="1"/>
    <xf numFmtId="165" fontId="0" fillId="0" borderId="0" xfId="0" applyNumberFormat="1" applyAlignment="1">
      <alignment horizontal="right"/>
    </xf>
    <xf numFmtId="165" fontId="0" fillId="2" borderId="2" xfId="0" applyNumberFormat="1" applyFont="1" applyFill="1" applyBorder="1"/>
    <xf numFmtId="165" fontId="0" fillId="0" borderId="0" xfId="0" applyNumberFormat="1"/>
    <xf numFmtId="0" fontId="0" fillId="0" borderId="4" xfId="0" applyFont="1" applyBorder="1"/>
    <xf numFmtId="0" fontId="0" fillId="0" borderId="5" xfId="0" applyFont="1" applyBorder="1"/>
    <xf numFmtId="165" fontId="0" fillId="0" borderId="5" xfId="0" applyNumberFormat="1" applyFont="1" applyBorder="1" applyAlignment="1">
      <alignment horizontal="right"/>
    </xf>
    <xf numFmtId="0" fontId="0" fillId="0" borderId="6" xfId="0" applyFont="1" applyBorder="1"/>
    <xf numFmtId="0" fontId="0" fillId="0" borderId="7" xfId="0" applyFont="1" applyBorder="1"/>
    <xf numFmtId="0" fontId="0" fillId="0" borderId="3" xfId="0" applyFont="1" applyBorder="1"/>
    <xf numFmtId="165" fontId="0" fillId="0" borderId="3" xfId="0" applyNumberFormat="1" applyFont="1" applyBorder="1" applyAlignment="1">
      <alignment horizontal="right"/>
    </xf>
    <xf numFmtId="0" fontId="0" fillId="0" borderId="8" xfId="0" applyFont="1" applyBorder="1"/>
    <xf numFmtId="0" fontId="0" fillId="0" borderId="0" xfId="0" applyNumberFormat="1" applyFont="1" applyFill="1" applyBorder="1" applyAlignment="1" applyProtection="1"/>
  </cellXfs>
  <cellStyles count="1"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numFmt numFmtId="164" formatCode="d/m/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guel Figueiredo Marques" refreshedDate="42443.657916319447" createdVersion="6" refreshedVersion="6" minRefreshableVersion="3" recordCount="10">
  <cacheSource type="worksheet">
    <worksheetSource ref="C3:P13" sheet="Planilha1"/>
  </cacheSource>
  <cacheFields count="14">
    <cacheField name="Despesas" numFmtId="0">
      <sharedItems count="8">
        <s v="forn1"/>
        <s v="serv1"/>
        <s v="serv2"/>
        <s v="serv3"/>
        <s v="forn2"/>
        <s v="forn3"/>
        <s v="forn4"/>
        <s v="forn5"/>
      </sharedItems>
    </cacheField>
    <cacheField name="valor" numFmtId="0">
      <sharedItems containsString="0" containsBlank="1" containsNumber="1" containsInteger="1" minValue="40" maxValue="220"/>
    </cacheField>
    <cacheField name="janeiro" numFmtId="0">
      <sharedItems containsString="0" containsBlank="1" containsNumber="1" containsInteger="1" minValue="100" maxValue="520"/>
    </cacheField>
    <cacheField name="fevereiro" numFmtId="0">
      <sharedItems containsNonDate="0" containsString="0" containsBlank="1"/>
    </cacheField>
    <cacheField name="março" numFmtId="0">
      <sharedItems containsNonDate="0" containsString="0" containsBlank="1"/>
    </cacheField>
    <cacheField name="abril" numFmtId="0">
      <sharedItems containsNonDate="0" containsString="0" containsBlank="1"/>
    </cacheField>
    <cacheField name="maio" numFmtId="0">
      <sharedItems containsNonDate="0" containsString="0" containsBlank="1"/>
    </cacheField>
    <cacheField name="junho" numFmtId="0">
      <sharedItems containsNonDate="0" containsString="0" containsBlank="1"/>
    </cacheField>
    <cacheField name="julho" numFmtId="0">
      <sharedItems containsNonDate="0" containsString="0" containsBlank="1"/>
    </cacheField>
    <cacheField name="agosto" numFmtId="0">
      <sharedItems containsNonDate="0" containsString="0" containsBlank="1"/>
    </cacheField>
    <cacheField name="setembro" numFmtId="0">
      <sharedItems containsNonDate="0" containsString="0" containsBlank="1"/>
    </cacheField>
    <cacheField name="outubro" numFmtId="0">
      <sharedItems containsNonDate="0" containsString="0" containsBlank="1"/>
    </cacheField>
    <cacheField name="novembro" numFmtId="0">
      <sharedItems containsNonDate="0" containsString="0" containsBlank="1"/>
    </cacheField>
    <cacheField name="dezembr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guel Figueiredo Marques" refreshedDate="42443.923759953701" createdVersion="6" refreshedVersion="6" minRefreshableVersion="3" recordCount="55">
  <cacheSource type="worksheet">
    <worksheetSource ref="A1:F1048576" sheet="Planilha3"/>
  </cacheSource>
  <cacheFields count="6">
    <cacheField name="Fornecedor" numFmtId="0">
      <sharedItems containsBlank="1" count="7">
        <s v="forn1"/>
        <s v="forn3"/>
        <s v="forn4"/>
        <s v="forn5"/>
        <s v="forn6"/>
        <s v="forn7"/>
        <m/>
      </sharedItems>
    </cacheField>
    <cacheField name="Despesa" numFmtId="0">
      <sharedItems containsBlank="1" count="14">
        <s v="serv1"/>
        <s v="serv2"/>
        <s v="serv3"/>
        <s v="serv4"/>
        <s v="serv5"/>
        <s v="serv6"/>
        <s v="serv7"/>
        <s v="serv8"/>
        <s v="serv9"/>
        <s v="serv10"/>
        <s v="serv11"/>
        <s v="serv12"/>
        <s v="serv13"/>
        <m/>
      </sharedItems>
    </cacheField>
    <cacheField name="valor" numFmtId="0">
      <sharedItems containsString="0" containsBlank="1" containsNumber="1" containsInteger="1" minValue="15" maxValue="1561"/>
    </cacheField>
    <cacheField name="pagamento" numFmtId="0">
      <sharedItems containsBlank="1" count="3">
        <s v="pag"/>
        <s v="agu"/>
        <m/>
      </sharedItems>
    </cacheField>
    <cacheField name="vencimento" numFmtId="0">
      <sharedItems containsDate="1" containsBlank="1" containsMixedTypes="1" minDate="2016-11-12T00:00:00" maxDate="2016-11-13T00:00:00"/>
    </cacheField>
    <cacheField name="mes" numFmtId="0">
      <sharedItems containsBlank="1" count="7">
        <s v="marco"/>
        <s v="abril"/>
        <m/>
        <s v="maio"/>
        <s v="junho"/>
        <s v="pag" u="1"/>
        <s v="agu" u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x v="0"/>
    <m/>
    <n v="520"/>
    <m/>
    <m/>
    <m/>
    <m/>
    <m/>
    <m/>
    <m/>
    <m/>
    <m/>
    <m/>
    <m/>
  </r>
  <r>
    <x v="1"/>
    <n v="100"/>
    <m/>
    <m/>
    <m/>
    <m/>
    <m/>
    <m/>
    <m/>
    <m/>
    <m/>
    <m/>
    <m/>
    <m/>
  </r>
  <r>
    <x v="2"/>
    <n v="200"/>
    <m/>
    <m/>
    <m/>
    <m/>
    <m/>
    <m/>
    <m/>
    <m/>
    <m/>
    <m/>
    <m/>
    <m/>
  </r>
  <r>
    <x v="3"/>
    <n v="220"/>
    <m/>
    <m/>
    <m/>
    <m/>
    <m/>
    <m/>
    <m/>
    <m/>
    <m/>
    <m/>
    <m/>
    <m/>
  </r>
  <r>
    <x v="4"/>
    <m/>
    <n v="100"/>
    <m/>
    <m/>
    <m/>
    <m/>
    <m/>
    <m/>
    <m/>
    <m/>
    <m/>
    <m/>
    <m/>
  </r>
  <r>
    <x v="1"/>
    <n v="40"/>
    <m/>
    <m/>
    <m/>
    <m/>
    <m/>
    <m/>
    <m/>
    <m/>
    <m/>
    <m/>
    <m/>
    <m/>
  </r>
  <r>
    <x v="2"/>
    <n v="60"/>
    <m/>
    <m/>
    <m/>
    <m/>
    <m/>
    <m/>
    <m/>
    <m/>
    <m/>
    <m/>
    <m/>
    <m/>
  </r>
  <r>
    <x v="5"/>
    <m/>
    <n v="400"/>
    <m/>
    <m/>
    <m/>
    <m/>
    <m/>
    <m/>
    <m/>
    <m/>
    <m/>
    <m/>
    <m/>
  </r>
  <r>
    <x v="6"/>
    <m/>
    <n v="300"/>
    <m/>
    <m/>
    <m/>
    <m/>
    <m/>
    <m/>
    <m/>
    <m/>
    <m/>
    <m/>
    <m/>
  </r>
  <r>
    <x v="7"/>
    <m/>
    <n v="10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5">
  <r>
    <x v="0"/>
    <x v="0"/>
    <n v="100"/>
    <x v="0"/>
    <d v="2016-11-12T00:00:00"/>
    <x v="0"/>
  </r>
  <r>
    <x v="0"/>
    <x v="1"/>
    <n v="200"/>
    <x v="1"/>
    <s v="13/12/2016"/>
    <x v="0"/>
  </r>
  <r>
    <x v="1"/>
    <x v="2"/>
    <n v="450"/>
    <x v="0"/>
    <s v="14/12/2016"/>
    <x v="0"/>
  </r>
  <r>
    <x v="2"/>
    <x v="3"/>
    <n v="599"/>
    <x v="0"/>
    <s v="15/12/2016"/>
    <x v="0"/>
  </r>
  <r>
    <x v="2"/>
    <x v="4"/>
    <n v="433"/>
    <x v="1"/>
    <s v="16/12/2016"/>
    <x v="0"/>
  </r>
  <r>
    <x v="2"/>
    <x v="5"/>
    <n v="242"/>
    <x v="0"/>
    <s v="17/12/2016"/>
    <x v="0"/>
  </r>
  <r>
    <x v="3"/>
    <x v="6"/>
    <n v="451"/>
    <x v="0"/>
    <s v="18/12/2016"/>
    <x v="0"/>
  </r>
  <r>
    <x v="3"/>
    <x v="7"/>
    <n v="789"/>
    <x v="1"/>
    <s v="19/12/2016"/>
    <x v="0"/>
  </r>
  <r>
    <x v="3"/>
    <x v="7"/>
    <n v="789"/>
    <x v="1"/>
    <s v="19/12/2016"/>
    <x v="0"/>
  </r>
  <r>
    <x v="4"/>
    <x v="8"/>
    <n v="1561"/>
    <x v="1"/>
    <s v="20/12/2016"/>
    <x v="0"/>
  </r>
  <r>
    <x v="4"/>
    <x v="9"/>
    <n v="51"/>
    <x v="1"/>
    <d v="2016-11-12T00:00:00"/>
    <x v="0"/>
  </r>
  <r>
    <x v="4"/>
    <x v="10"/>
    <n v="15"/>
    <x v="0"/>
    <d v="2016-11-12T00:00:00"/>
    <x v="0"/>
  </r>
  <r>
    <x v="5"/>
    <x v="11"/>
    <n v="113"/>
    <x v="0"/>
    <d v="2016-11-12T00:00:00"/>
    <x v="0"/>
  </r>
  <r>
    <x v="5"/>
    <x v="12"/>
    <n v="156"/>
    <x v="1"/>
    <d v="2016-11-12T00:00:00"/>
    <x v="0"/>
  </r>
  <r>
    <x v="0"/>
    <x v="0"/>
    <n v="100"/>
    <x v="0"/>
    <d v="2016-11-12T00:00:00"/>
    <x v="1"/>
  </r>
  <r>
    <x v="0"/>
    <x v="1"/>
    <n v="200"/>
    <x v="1"/>
    <s v="13/12/2016"/>
    <x v="1"/>
  </r>
  <r>
    <x v="1"/>
    <x v="2"/>
    <n v="450"/>
    <x v="0"/>
    <s v="14/12/2016"/>
    <x v="1"/>
  </r>
  <r>
    <x v="2"/>
    <x v="3"/>
    <n v="599"/>
    <x v="0"/>
    <s v="15/12/2016"/>
    <x v="1"/>
  </r>
  <r>
    <x v="2"/>
    <x v="4"/>
    <n v="433"/>
    <x v="1"/>
    <s v="16/12/2016"/>
    <x v="1"/>
  </r>
  <r>
    <x v="3"/>
    <x v="6"/>
    <n v="451"/>
    <x v="0"/>
    <s v="18/12/2016"/>
    <x v="1"/>
  </r>
  <r>
    <x v="3"/>
    <x v="7"/>
    <n v="451"/>
    <x v="0"/>
    <s v="18/12/2016"/>
    <x v="1"/>
  </r>
  <r>
    <x v="4"/>
    <x v="8"/>
    <n v="1561"/>
    <x v="1"/>
    <s v="20/12/2016"/>
    <x v="1"/>
  </r>
  <r>
    <x v="4"/>
    <x v="9"/>
    <n v="51"/>
    <x v="1"/>
    <d v="2016-11-12T00:00:00"/>
    <x v="1"/>
  </r>
  <r>
    <x v="4"/>
    <x v="10"/>
    <n v="15"/>
    <x v="0"/>
    <d v="2016-11-12T00:00:00"/>
    <x v="1"/>
  </r>
  <r>
    <x v="5"/>
    <x v="11"/>
    <n v="113"/>
    <x v="0"/>
    <d v="2016-11-12T00:00:00"/>
    <x v="1"/>
  </r>
  <r>
    <x v="6"/>
    <x v="13"/>
    <m/>
    <x v="2"/>
    <m/>
    <x v="2"/>
  </r>
  <r>
    <x v="5"/>
    <x v="12"/>
    <n v="156"/>
    <x v="1"/>
    <d v="2016-11-12T00:00:00"/>
    <x v="1"/>
  </r>
  <r>
    <x v="3"/>
    <x v="7"/>
    <n v="789"/>
    <x v="1"/>
    <s v="19/12/2016"/>
    <x v="0"/>
  </r>
  <r>
    <x v="0"/>
    <x v="0"/>
    <n v="100"/>
    <x v="0"/>
    <d v="2016-11-12T00:00:00"/>
    <x v="3"/>
  </r>
  <r>
    <x v="0"/>
    <x v="1"/>
    <n v="200"/>
    <x v="1"/>
    <s v="13/12/2016"/>
    <x v="0"/>
  </r>
  <r>
    <x v="1"/>
    <x v="2"/>
    <n v="450"/>
    <x v="0"/>
    <s v="14/12/2016"/>
    <x v="0"/>
  </r>
  <r>
    <x v="2"/>
    <x v="3"/>
    <n v="599"/>
    <x v="0"/>
    <s v="15/12/2016"/>
    <x v="0"/>
  </r>
  <r>
    <x v="2"/>
    <x v="4"/>
    <n v="433"/>
    <x v="1"/>
    <s v="16/12/2016"/>
    <x v="3"/>
  </r>
  <r>
    <x v="2"/>
    <x v="5"/>
    <n v="242"/>
    <x v="0"/>
    <s v="17/12/2016"/>
    <x v="0"/>
  </r>
  <r>
    <x v="3"/>
    <x v="6"/>
    <n v="451"/>
    <x v="0"/>
    <s v="18/12/2016"/>
    <x v="0"/>
  </r>
  <r>
    <x v="3"/>
    <x v="7"/>
    <n v="789"/>
    <x v="1"/>
    <s v="19/12/2016"/>
    <x v="3"/>
  </r>
  <r>
    <x v="3"/>
    <x v="7"/>
    <n v="789"/>
    <x v="1"/>
    <s v="19/12/2016"/>
    <x v="3"/>
  </r>
  <r>
    <x v="4"/>
    <x v="8"/>
    <n v="1561"/>
    <x v="1"/>
    <s v="20/12/2016"/>
    <x v="3"/>
  </r>
  <r>
    <x v="4"/>
    <x v="9"/>
    <n v="51"/>
    <x v="1"/>
    <d v="2016-11-12T00:00:00"/>
    <x v="3"/>
  </r>
  <r>
    <x v="4"/>
    <x v="10"/>
    <n v="15"/>
    <x v="0"/>
    <d v="2016-11-12T00:00:00"/>
    <x v="3"/>
  </r>
  <r>
    <x v="5"/>
    <x v="11"/>
    <n v="113"/>
    <x v="0"/>
    <d v="2016-11-12T00:00:00"/>
    <x v="3"/>
  </r>
  <r>
    <x v="5"/>
    <x v="12"/>
    <n v="156"/>
    <x v="1"/>
    <d v="2016-11-12T00:00:00"/>
    <x v="3"/>
  </r>
  <r>
    <x v="0"/>
    <x v="0"/>
    <n v="100"/>
    <x v="0"/>
    <d v="2016-11-12T00:00:00"/>
    <x v="4"/>
  </r>
  <r>
    <x v="0"/>
    <x v="1"/>
    <n v="200"/>
    <x v="1"/>
    <s v="13/12/2016"/>
    <x v="4"/>
  </r>
  <r>
    <x v="1"/>
    <x v="2"/>
    <n v="450"/>
    <x v="0"/>
    <s v="14/12/2016"/>
    <x v="4"/>
  </r>
  <r>
    <x v="2"/>
    <x v="3"/>
    <n v="599"/>
    <x v="0"/>
    <s v="15/12/2016"/>
    <x v="4"/>
  </r>
  <r>
    <x v="2"/>
    <x v="4"/>
    <n v="433"/>
    <x v="1"/>
    <s v="16/12/2016"/>
    <x v="4"/>
  </r>
  <r>
    <x v="3"/>
    <x v="6"/>
    <n v="451"/>
    <x v="0"/>
    <s v="18/12/2016"/>
    <x v="4"/>
  </r>
  <r>
    <x v="3"/>
    <x v="7"/>
    <n v="451"/>
    <x v="0"/>
    <s v="18/12/2016"/>
    <x v="4"/>
  </r>
  <r>
    <x v="4"/>
    <x v="8"/>
    <n v="1561"/>
    <x v="1"/>
    <s v="20/12/2016"/>
    <x v="4"/>
  </r>
  <r>
    <x v="4"/>
    <x v="9"/>
    <n v="51"/>
    <x v="1"/>
    <d v="2016-11-12T00:00:00"/>
    <x v="4"/>
  </r>
  <r>
    <x v="4"/>
    <x v="10"/>
    <n v="15"/>
    <x v="0"/>
    <d v="2016-11-12T00:00:00"/>
    <x v="4"/>
  </r>
  <r>
    <x v="5"/>
    <x v="11"/>
    <n v="113"/>
    <x v="0"/>
    <d v="2016-11-12T00:00:00"/>
    <x v="4"/>
  </r>
  <r>
    <x v="5"/>
    <x v="12"/>
    <n v="156"/>
    <x v="1"/>
    <d v="2016-11-12T00:00:00"/>
    <x v="4"/>
  </r>
  <r>
    <x v="6"/>
    <x v="13"/>
    <m/>
    <x v="2"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A12" firstHeaderRow="1" firstDataRow="1" firstDataCol="1"/>
  <pivotFields count="14">
    <pivotField axis="axisRow" showAll="0">
      <items count="9">
        <item x="0"/>
        <item x="4"/>
        <item x="5"/>
        <item x="6"/>
        <item x="7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2" cacheId="7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rowHeaderCaption="Favorecido">
  <location ref="G10:L31" firstHeaderRow="1" firstDataRow="2" firstDataCol="1" rowPageCount="1" colPageCount="1"/>
  <pivotFields count="6">
    <pivotField axis="axisRow" multipleItemSelectionAllowed="1" showAll="0">
      <items count="8">
        <item x="0"/>
        <item x="1"/>
        <item x="2"/>
        <item x="3"/>
        <item x="4"/>
        <item x="5"/>
        <item h="1" x="6"/>
        <item t="default"/>
      </items>
    </pivotField>
    <pivotField axis="axisRow" showAll="0">
      <items count="15">
        <item x="0"/>
        <item x="9"/>
        <item x="10"/>
        <item x="11"/>
        <item x="12"/>
        <item x="1"/>
        <item x="2"/>
        <item x="3"/>
        <item x="4"/>
        <item x="5"/>
        <item x="6"/>
        <item x="7"/>
        <item x="8"/>
        <item x="13"/>
        <item t="default"/>
      </items>
    </pivotField>
    <pivotField dataField="1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axis="axisCol" multipleItemSelectionAllowed="1" showAll="0">
      <items count="8">
        <item x="1"/>
        <item m="1" x="6"/>
        <item x="0"/>
        <item m="1" x="5"/>
        <item h="1" x="2"/>
        <item x="3"/>
        <item x="4"/>
        <item t="default"/>
      </items>
    </pivotField>
  </pivotFields>
  <rowFields count="2">
    <field x="0"/>
    <field x="1"/>
  </rowFields>
  <rowItems count="20">
    <i>
      <x/>
    </i>
    <i r="1">
      <x/>
    </i>
    <i r="1">
      <x v="5"/>
    </i>
    <i>
      <x v="1"/>
    </i>
    <i r="1">
      <x v="6"/>
    </i>
    <i>
      <x v="2"/>
    </i>
    <i r="1">
      <x v="7"/>
    </i>
    <i r="1">
      <x v="8"/>
    </i>
    <i r="1">
      <x v="9"/>
    </i>
    <i>
      <x v="3"/>
    </i>
    <i r="1">
      <x v="10"/>
    </i>
    <i r="1">
      <x v="11"/>
    </i>
    <i>
      <x v="4"/>
    </i>
    <i r="1">
      <x v="1"/>
    </i>
    <i r="1">
      <x v="2"/>
    </i>
    <i r="1">
      <x v="12"/>
    </i>
    <i>
      <x v="5"/>
    </i>
    <i r="1">
      <x v="3"/>
    </i>
    <i r="1">
      <x v="4"/>
    </i>
    <i t="grand">
      <x/>
    </i>
  </rowItems>
  <colFields count="1">
    <field x="5"/>
  </colFields>
  <colItems count="5">
    <i>
      <x/>
    </i>
    <i>
      <x v="2"/>
    </i>
    <i>
      <x v="5"/>
    </i>
    <i>
      <x v="6"/>
    </i>
    <i t="grand">
      <x/>
    </i>
  </colItems>
  <pageFields count="1">
    <pageField fld="3" hier="-1"/>
  </pageFields>
  <dataFields count="1">
    <dataField name="Soma" fld="2" baseField="0" baseItem="0"/>
  </dataFields>
  <formats count="4">
    <format dxfId="3">
      <pivotArea collapsedLevelsAreSubtotals="1" fieldPosition="0">
        <references count="3">
          <reference field="0" count="1" selected="0">
            <x v="2"/>
          </reference>
          <reference field="1" count="1">
            <x v="8"/>
          </reference>
          <reference field="5" count="1" selected="0">
            <x v="0"/>
          </reference>
        </references>
      </pivotArea>
    </format>
    <format dxfId="2">
      <pivotArea collapsedLevelsAreSubtotals="1" fieldPosition="0">
        <references count="3">
          <reference field="0" count="1" selected="0">
            <x v="2"/>
          </reference>
          <reference field="1" count="1">
            <x v="8"/>
          </reference>
          <reference field="5" count="1" selected="0">
            <x v="0"/>
          </reference>
        </references>
      </pivotArea>
    </format>
    <format dxfId="1">
      <pivotArea collapsedLevelsAreSubtotals="1" fieldPosition="0">
        <references count="3">
          <reference field="0" count="1" selected="0">
            <x v="2"/>
          </reference>
          <reference field="1" count="1">
            <x v="8"/>
          </reference>
          <reference field="5" count="1" selected="0">
            <x v="0"/>
          </reference>
        </references>
      </pivotArea>
    </format>
    <format dxfId="0">
      <pivotArea collapsedLevelsAreSubtotals="1" fieldPosition="0">
        <references count="3">
          <reference field="0" count="1" selected="0">
            <x v="2"/>
          </reference>
          <reference field="1" count="1">
            <x v="8"/>
          </reference>
          <reference field="5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A1:F28" totalsRowShown="0">
  <autoFilter ref="A1:F28">
    <filterColumn colId="3">
      <customFilters>
        <customFilter operator="notEqual" val=" "/>
      </customFilters>
    </filterColumn>
  </autoFilter>
  <sortState ref="A2:F28">
    <sortCondition descending="1" ref="F2:F28"/>
  </sortState>
  <tableColumns count="6">
    <tableColumn id="1" name="Fornecedor"/>
    <tableColumn id="2" name="Despesa"/>
    <tableColumn id="3" name="valor"/>
    <tableColumn id="4" name="pagamento"/>
    <tableColumn id="5" name="vencimento" dataDxfId="4"/>
    <tableColumn id="6" name="m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3:A12"/>
  <sheetViews>
    <sheetView workbookViewId="0">
      <selection activeCell="A7" sqref="A4:A11"/>
      <pivotSelection pane="bottomRight" showHeader="1" axis="axisRow" activeRow="6" previousRow="6" click="1" r:id="rId1">
        <pivotArea dataOnly="0" labelOnly="1" fieldPosition="0">
          <references count="1">
            <reference field="0" count="0"/>
          </references>
        </pivotArea>
      </pivotSelection>
    </sheetView>
  </sheetViews>
  <sheetFormatPr defaultRowHeight="15" x14ac:dyDescent="0.25"/>
  <cols>
    <col min="1" max="1" width="18" bestFit="1" customWidth="1"/>
  </cols>
  <sheetData>
    <row r="3" spans="1:1" x14ac:dyDescent="0.25">
      <c r="A3" s="2" t="s">
        <v>23</v>
      </c>
    </row>
    <row r="4" spans="1:1" x14ac:dyDescent="0.25">
      <c r="A4" s="3" t="s">
        <v>12</v>
      </c>
    </row>
    <row r="5" spans="1:1" x14ac:dyDescent="0.25">
      <c r="A5" s="3" t="s">
        <v>18</v>
      </c>
    </row>
    <row r="6" spans="1:1" x14ac:dyDescent="0.25">
      <c r="A6" s="3" t="s">
        <v>20</v>
      </c>
    </row>
    <row r="7" spans="1:1" x14ac:dyDescent="0.25">
      <c r="A7" s="3" t="s">
        <v>21</v>
      </c>
    </row>
    <row r="8" spans="1:1" x14ac:dyDescent="0.25">
      <c r="A8" s="3" t="s">
        <v>22</v>
      </c>
    </row>
    <row r="9" spans="1:1" x14ac:dyDescent="0.25">
      <c r="A9" s="3" t="s">
        <v>13</v>
      </c>
    </row>
    <row r="10" spans="1:1" x14ac:dyDescent="0.25">
      <c r="A10" s="3" t="s">
        <v>14</v>
      </c>
    </row>
    <row r="11" spans="1:1" x14ac:dyDescent="0.25">
      <c r="A11" s="3" t="s">
        <v>15</v>
      </c>
    </row>
    <row r="12" spans="1:1" x14ac:dyDescent="0.25">
      <c r="A12" s="3" t="s">
        <v>24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outlinePr summaryBelow="0"/>
  </sheetPr>
  <dimension ref="C3:P13"/>
  <sheetViews>
    <sheetView workbookViewId="0">
      <selection activeCell="C14" sqref="C14"/>
    </sheetView>
  </sheetViews>
  <sheetFormatPr defaultRowHeight="15" outlineLevelRow="1" x14ac:dyDescent="0.25"/>
  <cols>
    <col min="2" max="4" width="10.140625" customWidth="1"/>
    <col min="13" max="13" width="10.28515625" customWidth="1"/>
    <col min="15" max="15" width="11.42578125" customWidth="1"/>
  </cols>
  <sheetData>
    <row r="3" spans="3:16" x14ac:dyDescent="0.25">
      <c r="C3" t="s">
        <v>19</v>
      </c>
      <c r="D3" t="s">
        <v>16</v>
      </c>
      <c r="E3" t="s">
        <v>9</v>
      </c>
      <c r="F3" t="s">
        <v>10</v>
      </c>
      <c r="G3" t="s">
        <v>11</v>
      </c>
      <c r="H3" t="s">
        <v>0</v>
      </c>
      <c r="I3" t="s">
        <v>1</v>
      </c>
      <c r="J3" t="s">
        <v>2</v>
      </c>
      <c r="K3" t="s">
        <v>3</v>
      </c>
      <c r="L3" t="s">
        <v>4</v>
      </c>
      <c r="M3" t="s">
        <v>5</v>
      </c>
      <c r="N3" t="s">
        <v>6</v>
      </c>
      <c r="O3" t="s">
        <v>7</v>
      </c>
      <c r="P3" t="s">
        <v>8</v>
      </c>
    </row>
    <row r="4" spans="3:16" x14ac:dyDescent="0.25">
      <c r="C4" s="1" t="s">
        <v>12</v>
      </c>
      <c r="E4" s="1">
        <f>SUM(D5:D7)</f>
        <v>520</v>
      </c>
    </row>
    <row r="5" spans="3:16" outlineLevel="1" x14ac:dyDescent="0.25">
      <c r="C5" t="s">
        <v>13</v>
      </c>
      <c r="D5">
        <v>100</v>
      </c>
    </row>
    <row r="6" spans="3:16" outlineLevel="1" x14ac:dyDescent="0.25">
      <c r="C6" t="s">
        <v>14</v>
      </c>
      <c r="D6">
        <v>200</v>
      </c>
    </row>
    <row r="7" spans="3:16" outlineLevel="1" x14ac:dyDescent="0.25">
      <c r="C7" t="s">
        <v>15</v>
      </c>
      <c r="D7">
        <v>220</v>
      </c>
    </row>
    <row r="8" spans="3:16" x14ac:dyDescent="0.25">
      <c r="C8" s="1" t="s">
        <v>18</v>
      </c>
      <c r="D8" s="1"/>
      <c r="E8" s="1">
        <f>SUM(D9:D10)</f>
        <v>100</v>
      </c>
    </row>
    <row r="9" spans="3:16" outlineLevel="1" x14ac:dyDescent="0.25">
      <c r="C9" t="s">
        <v>13</v>
      </c>
      <c r="D9">
        <v>40</v>
      </c>
    </row>
    <row r="10" spans="3:16" outlineLevel="1" x14ac:dyDescent="0.25">
      <c r="C10" t="s">
        <v>14</v>
      </c>
      <c r="D10">
        <v>60</v>
      </c>
    </row>
    <row r="11" spans="3:16" x14ac:dyDescent="0.25">
      <c r="C11" s="1" t="s">
        <v>20</v>
      </c>
      <c r="E11" s="1">
        <v>400</v>
      </c>
    </row>
    <row r="12" spans="3:16" x14ac:dyDescent="0.25">
      <c r="C12" s="1" t="s">
        <v>21</v>
      </c>
      <c r="E12" s="1">
        <v>300</v>
      </c>
    </row>
    <row r="13" spans="3:16" x14ac:dyDescent="0.25">
      <c r="C13" s="1" t="s">
        <v>22</v>
      </c>
      <c r="E13" s="1">
        <v>100</v>
      </c>
    </row>
  </sheetData>
  <dataConsolidate>
    <dataRefs count="1">
      <dataRef ref="B4:C7" sheet="Planilha1"/>
    </dataRefs>
  </dataConsolidate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4:B15"/>
  <sheetViews>
    <sheetView workbookViewId="0">
      <selection activeCell="B15" sqref="A1:B15"/>
    </sheetView>
  </sheetViews>
  <sheetFormatPr defaultRowHeight="15" x14ac:dyDescent="0.25"/>
  <cols>
    <col min="1" max="1" width="18" bestFit="1" customWidth="1"/>
    <col min="2" max="2" width="13.5703125" customWidth="1"/>
  </cols>
  <sheetData>
    <row r="4" spans="1:2" x14ac:dyDescent="0.25">
      <c r="A4" s="3"/>
      <c r="B4" s="5"/>
    </row>
    <row r="5" spans="1:2" x14ac:dyDescent="0.25">
      <c r="A5" s="4"/>
      <c r="B5" s="5"/>
    </row>
    <row r="6" spans="1:2" x14ac:dyDescent="0.25">
      <c r="A6" s="3"/>
      <c r="B6" s="5"/>
    </row>
    <row r="7" spans="1:2" x14ac:dyDescent="0.25">
      <c r="A7" s="4"/>
      <c r="B7" s="5"/>
    </row>
    <row r="8" spans="1:2" x14ac:dyDescent="0.25">
      <c r="A8" s="3"/>
      <c r="B8" s="5"/>
    </row>
    <row r="9" spans="1:2" x14ac:dyDescent="0.25">
      <c r="A9" s="4"/>
      <c r="B9" s="5"/>
    </row>
    <row r="10" spans="1:2" x14ac:dyDescent="0.25">
      <c r="A10" s="3"/>
      <c r="B10" s="5"/>
    </row>
    <row r="11" spans="1:2" x14ac:dyDescent="0.25">
      <c r="A11" s="4"/>
      <c r="B11" s="5"/>
    </row>
    <row r="12" spans="1:2" x14ac:dyDescent="0.25">
      <c r="A12" s="4"/>
      <c r="B12" s="5"/>
    </row>
    <row r="13" spans="1:2" x14ac:dyDescent="0.25">
      <c r="A13" s="3"/>
      <c r="B13" s="5"/>
    </row>
    <row r="14" spans="1:2" x14ac:dyDescent="0.25">
      <c r="A14" s="4"/>
      <c r="B14" s="5"/>
    </row>
    <row r="15" spans="1:2" x14ac:dyDescent="0.25">
      <c r="A15" s="3"/>
      <c r="B15" s="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G8:L31"/>
  <sheetViews>
    <sheetView workbookViewId="0">
      <selection activeCell="M10" sqref="M10"/>
    </sheetView>
  </sheetViews>
  <sheetFormatPr defaultRowHeight="15" x14ac:dyDescent="0.25"/>
  <cols>
    <col min="1" max="1" width="18" bestFit="1" customWidth="1"/>
    <col min="2" max="2" width="19.5703125" bestFit="1" customWidth="1"/>
    <col min="3" max="3" width="6.42578125" customWidth="1"/>
    <col min="4" max="4" width="10.7109375" customWidth="1"/>
    <col min="5" max="5" width="4.140625" customWidth="1"/>
    <col min="6" max="6" width="7" customWidth="1"/>
    <col min="7" max="7" width="13" customWidth="1"/>
    <col min="8" max="8" width="19.5703125" customWidth="1"/>
    <col min="9" max="9" width="6.42578125" customWidth="1"/>
    <col min="10" max="10" width="5.42578125" customWidth="1"/>
    <col min="11" max="11" width="6.140625" customWidth="1"/>
    <col min="12" max="12" width="10.7109375" customWidth="1"/>
    <col min="13" max="13" width="18.5703125" customWidth="1"/>
    <col min="14" max="17" width="4" customWidth="1"/>
    <col min="18" max="18" width="5" customWidth="1"/>
    <col min="19" max="19" width="9.85546875" customWidth="1"/>
    <col min="20" max="20" width="8.28515625" customWidth="1"/>
    <col min="21" max="21" width="3" customWidth="1"/>
    <col min="22" max="30" width="4" customWidth="1"/>
    <col min="31" max="32" width="5" customWidth="1"/>
    <col min="33" max="33" width="11.28515625" bestFit="1" customWidth="1"/>
    <col min="34" max="34" width="10.7109375" bestFit="1" customWidth="1"/>
  </cols>
  <sheetData>
    <row r="8" spans="7:12" x14ac:dyDescent="0.25">
      <c r="G8" s="2" t="s">
        <v>33</v>
      </c>
      <c r="H8" t="s">
        <v>34</v>
      </c>
    </row>
    <row r="10" spans="7:12" x14ac:dyDescent="0.25">
      <c r="G10" s="2" t="s">
        <v>17</v>
      </c>
      <c r="H10" s="2" t="s">
        <v>32</v>
      </c>
    </row>
    <row r="11" spans="7:12" x14ac:dyDescent="0.25">
      <c r="G11" s="2" t="s">
        <v>55</v>
      </c>
      <c r="H11" t="s">
        <v>0</v>
      </c>
      <c r="I11" t="s">
        <v>54</v>
      </c>
      <c r="J11" t="s">
        <v>1</v>
      </c>
      <c r="K11" t="s">
        <v>2</v>
      </c>
      <c r="L11" t="s">
        <v>24</v>
      </c>
    </row>
    <row r="12" spans="7:12" x14ac:dyDescent="0.25">
      <c r="G12" s="3" t="s">
        <v>12</v>
      </c>
      <c r="H12" s="5">
        <v>300</v>
      </c>
      <c r="I12" s="5">
        <v>500</v>
      </c>
      <c r="J12" s="5">
        <v>100</v>
      </c>
      <c r="K12" s="5">
        <v>300</v>
      </c>
      <c r="L12" s="5">
        <v>1200</v>
      </c>
    </row>
    <row r="13" spans="7:12" x14ac:dyDescent="0.25">
      <c r="G13" s="4" t="s">
        <v>13</v>
      </c>
      <c r="H13" s="5">
        <v>100</v>
      </c>
      <c r="I13" s="5">
        <v>100</v>
      </c>
      <c r="J13" s="5">
        <v>100</v>
      </c>
      <c r="K13" s="5">
        <v>100</v>
      </c>
      <c r="L13" s="5">
        <v>400</v>
      </c>
    </row>
    <row r="14" spans="7:12" x14ac:dyDescent="0.25">
      <c r="G14" s="4" t="s">
        <v>14</v>
      </c>
      <c r="H14" s="5">
        <v>200</v>
      </c>
      <c r="I14" s="5">
        <v>400</v>
      </c>
      <c r="J14" s="5"/>
      <c r="K14" s="5">
        <v>200</v>
      </c>
      <c r="L14" s="5">
        <v>800</v>
      </c>
    </row>
    <row r="15" spans="7:12" x14ac:dyDescent="0.25">
      <c r="G15" s="3" t="s">
        <v>20</v>
      </c>
      <c r="H15" s="5">
        <v>450</v>
      </c>
      <c r="I15" s="5">
        <v>900</v>
      </c>
      <c r="J15" s="5"/>
      <c r="K15" s="5">
        <v>450</v>
      </c>
      <c r="L15" s="5">
        <v>1800</v>
      </c>
    </row>
    <row r="16" spans="7:12" x14ac:dyDescent="0.25">
      <c r="G16" s="4" t="s">
        <v>15</v>
      </c>
      <c r="H16" s="5">
        <v>450</v>
      </c>
      <c r="I16" s="5">
        <v>900</v>
      </c>
      <c r="J16" s="5"/>
      <c r="K16" s="5">
        <v>450</v>
      </c>
      <c r="L16" s="5">
        <v>1800</v>
      </c>
    </row>
    <row r="17" spans="7:12" x14ac:dyDescent="0.25">
      <c r="G17" s="3" t="s">
        <v>21</v>
      </c>
      <c r="H17" s="5">
        <v>1032</v>
      </c>
      <c r="I17" s="5">
        <v>2115</v>
      </c>
      <c r="J17" s="5">
        <v>433</v>
      </c>
      <c r="K17" s="5">
        <v>1032</v>
      </c>
      <c r="L17" s="5">
        <v>4612</v>
      </c>
    </row>
    <row r="18" spans="7:12" x14ac:dyDescent="0.25">
      <c r="G18" s="4" t="s">
        <v>27</v>
      </c>
      <c r="H18" s="5">
        <v>599</v>
      </c>
      <c r="I18" s="5">
        <v>1198</v>
      </c>
      <c r="J18" s="5"/>
      <c r="K18" s="5">
        <v>599</v>
      </c>
      <c r="L18" s="5">
        <v>2396</v>
      </c>
    </row>
    <row r="19" spans="7:12" x14ac:dyDescent="0.25">
      <c r="G19" s="4" t="s">
        <v>28</v>
      </c>
      <c r="H19" s="23">
        <v>433</v>
      </c>
      <c r="I19" s="5">
        <v>433</v>
      </c>
      <c r="J19" s="5">
        <v>433</v>
      </c>
      <c r="K19" s="5">
        <v>433</v>
      </c>
      <c r="L19" s="5">
        <v>1732</v>
      </c>
    </row>
    <row r="20" spans="7:12" x14ac:dyDescent="0.25">
      <c r="G20" s="4" t="s">
        <v>29</v>
      </c>
      <c r="H20" s="5"/>
      <c r="I20" s="5">
        <v>484</v>
      </c>
      <c r="J20" s="5"/>
      <c r="K20" s="5"/>
      <c r="L20" s="5">
        <v>484</v>
      </c>
    </row>
    <row r="21" spans="7:12" x14ac:dyDescent="0.25">
      <c r="G21" s="3" t="s">
        <v>22</v>
      </c>
      <c r="H21" s="5">
        <v>902</v>
      </c>
      <c r="I21" s="5">
        <v>3269</v>
      </c>
      <c r="J21" s="5">
        <v>1578</v>
      </c>
      <c r="K21" s="5">
        <v>902</v>
      </c>
      <c r="L21" s="5">
        <v>6651</v>
      </c>
    </row>
    <row r="22" spans="7:12" x14ac:dyDescent="0.25">
      <c r="G22" s="4" t="s">
        <v>35</v>
      </c>
      <c r="H22" s="5">
        <v>451</v>
      </c>
      <c r="I22" s="5">
        <v>902</v>
      </c>
      <c r="J22" s="5"/>
      <c r="K22" s="5">
        <v>451</v>
      </c>
      <c r="L22" s="5">
        <v>1804</v>
      </c>
    </row>
    <row r="23" spans="7:12" x14ac:dyDescent="0.25">
      <c r="G23" s="4" t="s">
        <v>36</v>
      </c>
      <c r="H23" s="5">
        <v>451</v>
      </c>
      <c r="I23" s="5">
        <v>2367</v>
      </c>
      <c r="J23" s="5">
        <v>1578</v>
      </c>
      <c r="K23" s="5">
        <v>451</v>
      </c>
      <c r="L23" s="5">
        <v>4847</v>
      </c>
    </row>
    <row r="24" spans="7:12" x14ac:dyDescent="0.25">
      <c r="G24" s="3" t="s">
        <v>37</v>
      </c>
      <c r="H24" s="5">
        <v>1627</v>
      </c>
      <c r="I24" s="5">
        <v>1627</v>
      </c>
      <c r="J24" s="5">
        <v>1627</v>
      </c>
      <c r="K24" s="5">
        <v>1627</v>
      </c>
      <c r="L24" s="5">
        <v>6508</v>
      </c>
    </row>
    <row r="25" spans="7:12" x14ac:dyDescent="0.25">
      <c r="G25" s="4" t="s">
        <v>39</v>
      </c>
      <c r="H25" s="5">
        <v>51</v>
      </c>
      <c r="I25" s="5">
        <v>51</v>
      </c>
      <c r="J25" s="5">
        <v>51</v>
      </c>
      <c r="K25" s="5">
        <v>51</v>
      </c>
      <c r="L25" s="5">
        <v>204</v>
      </c>
    </row>
    <row r="26" spans="7:12" x14ac:dyDescent="0.25">
      <c r="G26" s="4" t="s">
        <v>40</v>
      </c>
      <c r="H26" s="5">
        <v>15</v>
      </c>
      <c r="I26" s="5">
        <v>15</v>
      </c>
      <c r="J26" s="5">
        <v>15</v>
      </c>
      <c r="K26" s="5">
        <v>15</v>
      </c>
      <c r="L26" s="5">
        <v>60</v>
      </c>
    </row>
    <row r="27" spans="7:12" x14ac:dyDescent="0.25">
      <c r="G27" s="4" t="s">
        <v>38</v>
      </c>
      <c r="H27" s="5">
        <v>1561</v>
      </c>
      <c r="I27" s="5">
        <v>1561</v>
      </c>
      <c r="J27" s="5">
        <v>1561</v>
      </c>
      <c r="K27" s="5">
        <v>1561</v>
      </c>
      <c r="L27" s="5">
        <v>6244</v>
      </c>
    </row>
    <row r="28" spans="7:12" x14ac:dyDescent="0.25">
      <c r="G28" s="3" t="s">
        <v>41</v>
      </c>
      <c r="H28" s="5">
        <v>269</v>
      </c>
      <c r="I28" s="5">
        <v>269</v>
      </c>
      <c r="J28" s="5">
        <v>269</v>
      </c>
      <c r="K28" s="5">
        <v>269</v>
      </c>
      <c r="L28" s="5">
        <v>1076</v>
      </c>
    </row>
    <row r="29" spans="7:12" x14ac:dyDescent="0.25">
      <c r="G29" s="4" t="s">
        <v>42</v>
      </c>
      <c r="H29" s="5">
        <v>113</v>
      </c>
      <c r="I29" s="5">
        <v>113</v>
      </c>
      <c r="J29" s="5">
        <v>113</v>
      </c>
      <c r="K29" s="5">
        <v>113</v>
      </c>
      <c r="L29" s="5">
        <v>452</v>
      </c>
    </row>
    <row r="30" spans="7:12" x14ac:dyDescent="0.25">
      <c r="G30" s="4" t="s">
        <v>43</v>
      </c>
      <c r="H30" s="5">
        <v>156</v>
      </c>
      <c r="I30" s="5">
        <v>156</v>
      </c>
      <c r="J30" s="5">
        <v>156</v>
      </c>
      <c r="K30" s="5">
        <v>156</v>
      </c>
      <c r="L30" s="5">
        <v>624</v>
      </c>
    </row>
    <row r="31" spans="7:12" x14ac:dyDescent="0.25">
      <c r="G31" s="3" t="s">
        <v>24</v>
      </c>
      <c r="H31" s="5">
        <v>4580</v>
      </c>
      <c r="I31" s="5">
        <v>8680</v>
      </c>
      <c r="J31" s="5">
        <v>4007</v>
      </c>
      <c r="K31" s="5">
        <v>4580</v>
      </c>
      <c r="L31" s="5">
        <v>21847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O55"/>
  <sheetViews>
    <sheetView tabSelected="1" zoomScaleNormal="100" workbookViewId="0">
      <selection activeCell="F63" sqref="F63"/>
    </sheetView>
  </sheetViews>
  <sheetFormatPr defaultRowHeight="15" x14ac:dyDescent="0.25"/>
  <cols>
    <col min="1" max="1" width="13.28515625" customWidth="1"/>
    <col min="2" max="2" width="10.5703125" customWidth="1"/>
    <col min="3" max="3" width="15.7109375" customWidth="1"/>
    <col min="4" max="4" width="15.28515625" customWidth="1"/>
    <col min="5" max="5" width="16.85546875" customWidth="1"/>
    <col min="6" max="6" width="14.5703125" customWidth="1"/>
    <col min="7" max="7" width="15.42578125" customWidth="1"/>
    <col min="10" max="12" width="9.140625" customWidth="1"/>
    <col min="14" max="14" width="14.140625" customWidth="1"/>
    <col min="15" max="15" width="21.7109375" customWidth="1"/>
  </cols>
  <sheetData>
    <row r="1" spans="1:15" x14ac:dyDescent="0.25">
      <c r="A1" t="s">
        <v>25</v>
      </c>
      <c r="B1" t="s">
        <v>26</v>
      </c>
      <c r="C1" t="s">
        <v>16</v>
      </c>
      <c r="D1" t="s">
        <v>33</v>
      </c>
      <c r="E1" t="s">
        <v>44</v>
      </c>
      <c r="F1" t="s">
        <v>53</v>
      </c>
    </row>
    <row r="2" spans="1:15" x14ac:dyDescent="0.25">
      <c r="A2" t="s">
        <v>12</v>
      </c>
      <c r="B2" t="s">
        <v>13</v>
      </c>
      <c r="C2">
        <v>100</v>
      </c>
      <c r="D2" t="s">
        <v>30</v>
      </c>
      <c r="E2" s="12">
        <v>42686</v>
      </c>
      <c r="F2" t="s">
        <v>54</v>
      </c>
      <c r="N2" s="8"/>
      <c r="O2" s="9"/>
    </row>
    <row r="3" spans="1:15" x14ac:dyDescent="0.25">
      <c r="A3" t="s">
        <v>12</v>
      </c>
      <c r="B3" t="s">
        <v>14</v>
      </c>
      <c r="C3">
        <v>200</v>
      </c>
      <c r="D3" t="s">
        <v>31</v>
      </c>
      <c r="E3" s="12" t="s">
        <v>45</v>
      </c>
      <c r="F3" t="s">
        <v>54</v>
      </c>
      <c r="N3" s="11"/>
      <c r="O3" s="10"/>
    </row>
    <row r="4" spans="1:15" x14ac:dyDescent="0.25">
      <c r="A4" t="s">
        <v>20</v>
      </c>
      <c r="B4" t="s">
        <v>15</v>
      </c>
      <c r="C4">
        <v>450</v>
      </c>
      <c r="D4" t="s">
        <v>30</v>
      </c>
      <c r="E4" s="12" t="s">
        <v>46</v>
      </c>
      <c r="F4" t="s">
        <v>54</v>
      </c>
      <c r="N4" s="8"/>
      <c r="O4" s="9"/>
    </row>
    <row r="5" spans="1:15" x14ac:dyDescent="0.25">
      <c r="A5" t="s">
        <v>21</v>
      </c>
      <c r="B5" t="s">
        <v>27</v>
      </c>
      <c r="C5">
        <v>599</v>
      </c>
      <c r="D5" t="s">
        <v>30</v>
      </c>
      <c r="E5" s="12" t="s">
        <v>47</v>
      </c>
      <c r="F5" t="s">
        <v>54</v>
      </c>
      <c r="N5" s="11"/>
      <c r="O5" s="10"/>
    </row>
    <row r="6" spans="1:15" x14ac:dyDescent="0.25">
      <c r="A6" t="s">
        <v>21</v>
      </c>
      <c r="B6" t="s">
        <v>28</v>
      </c>
      <c r="C6">
        <v>433</v>
      </c>
      <c r="D6" t="s">
        <v>31</v>
      </c>
      <c r="E6" s="12" t="s">
        <v>48</v>
      </c>
      <c r="F6" t="s">
        <v>54</v>
      </c>
      <c r="N6" s="8"/>
      <c r="O6" s="9"/>
    </row>
    <row r="7" spans="1:15" x14ac:dyDescent="0.25">
      <c r="A7" t="s">
        <v>21</v>
      </c>
      <c r="B7" t="s">
        <v>29</v>
      </c>
      <c r="C7">
        <v>242</v>
      </c>
      <c r="D7" t="s">
        <v>30</v>
      </c>
      <c r="E7" s="12" t="s">
        <v>49</v>
      </c>
      <c r="F7" t="s">
        <v>54</v>
      </c>
      <c r="N7" s="11"/>
      <c r="O7" s="10"/>
    </row>
    <row r="8" spans="1:15" x14ac:dyDescent="0.25">
      <c r="A8" t="s">
        <v>22</v>
      </c>
      <c r="B8" t="s">
        <v>35</v>
      </c>
      <c r="C8">
        <v>451</v>
      </c>
      <c r="D8" t="s">
        <v>30</v>
      </c>
      <c r="E8" s="12" t="s">
        <v>50</v>
      </c>
      <c r="F8" t="s">
        <v>54</v>
      </c>
      <c r="N8" s="8"/>
      <c r="O8" s="9"/>
    </row>
    <row r="9" spans="1:15" x14ac:dyDescent="0.25">
      <c r="A9" t="s">
        <v>22</v>
      </c>
      <c r="B9" t="s">
        <v>36</v>
      </c>
      <c r="C9">
        <v>789</v>
      </c>
      <c r="D9" t="s">
        <v>31</v>
      </c>
      <c r="E9" s="12" t="s">
        <v>51</v>
      </c>
      <c r="F9" t="s">
        <v>54</v>
      </c>
      <c r="N9" s="11"/>
      <c r="O9" s="10"/>
    </row>
    <row r="10" spans="1:15" x14ac:dyDescent="0.25">
      <c r="A10" t="s">
        <v>22</v>
      </c>
      <c r="B10" t="s">
        <v>36</v>
      </c>
      <c r="C10">
        <v>789</v>
      </c>
      <c r="D10" t="s">
        <v>31</v>
      </c>
      <c r="E10" s="12" t="s">
        <v>51</v>
      </c>
      <c r="F10" t="s">
        <v>54</v>
      </c>
      <c r="N10" s="8"/>
      <c r="O10" s="13"/>
    </row>
    <row r="11" spans="1:15" x14ac:dyDescent="0.25">
      <c r="A11" t="s">
        <v>37</v>
      </c>
      <c r="B11" t="s">
        <v>38</v>
      </c>
      <c r="C11">
        <v>1561</v>
      </c>
      <c r="D11" t="s">
        <v>31</v>
      </c>
      <c r="E11" s="12" t="s">
        <v>52</v>
      </c>
      <c r="F11" t="s">
        <v>54</v>
      </c>
      <c r="N11" s="11"/>
      <c r="O11" s="10"/>
    </row>
    <row r="12" spans="1:15" x14ac:dyDescent="0.25">
      <c r="A12" t="s">
        <v>37</v>
      </c>
      <c r="B12" t="s">
        <v>39</v>
      </c>
      <c r="C12">
        <v>51</v>
      </c>
      <c r="D12" t="s">
        <v>31</v>
      </c>
      <c r="E12" s="12">
        <v>42686</v>
      </c>
      <c r="F12" t="s">
        <v>54</v>
      </c>
      <c r="N12" s="8"/>
      <c r="O12" s="9"/>
    </row>
    <row r="13" spans="1:15" x14ac:dyDescent="0.25">
      <c r="A13" t="s">
        <v>37</v>
      </c>
      <c r="B13" t="s">
        <v>40</v>
      </c>
      <c r="C13">
        <v>15</v>
      </c>
      <c r="D13" t="s">
        <v>30</v>
      </c>
      <c r="E13" s="12">
        <v>42686</v>
      </c>
      <c r="F13" t="s">
        <v>54</v>
      </c>
      <c r="N13" s="11"/>
      <c r="O13" s="10"/>
    </row>
    <row r="14" spans="1:15" x14ac:dyDescent="0.25">
      <c r="A14" t="s">
        <v>41</v>
      </c>
      <c r="B14" t="s">
        <v>42</v>
      </c>
      <c r="C14">
        <v>113</v>
      </c>
      <c r="D14" t="s">
        <v>30</v>
      </c>
      <c r="E14" s="12">
        <v>42686</v>
      </c>
      <c r="F14" t="s">
        <v>54</v>
      </c>
      <c r="N14" s="8"/>
      <c r="O14" s="9"/>
    </row>
    <row r="15" spans="1:15" x14ac:dyDescent="0.25">
      <c r="A15" t="s">
        <v>41</v>
      </c>
      <c r="B15" t="s">
        <v>43</v>
      </c>
      <c r="C15">
        <v>156</v>
      </c>
      <c r="D15" t="s">
        <v>31</v>
      </c>
      <c r="E15" s="12">
        <v>42686</v>
      </c>
      <c r="F15" t="s">
        <v>54</v>
      </c>
      <c r="N15" s="11"/>
      <c r="O15" s="10"/>
    </row>
    <row r="16" spans="1:15" x14ac:dyDescent="0.25">
      <c r="A16" t="s">
        <v>12</v>
      </c>
      <c r="B16" t="s">
        <v>13</v>
      </c>
      <c r="C16">
        <v>100</v>
      </c>
      <c r="D16" t="s">
        <v>30</v>
      </c>
      <c r="E16" s="12">
        <v>42686</v>
      </c>
      <c r="F16" t="s">
        <v>0</v>
      </c>
    </row>
    <row r="17" spans="1:15" x14ac:dyDescent="0.25">
      <c r="A17" t="s">
        <v>12</v>
      </c>
      <c r="B17" t="s">
        <v>14</v>
      </c>
      <c r="C17">
        <v>200</v>
      </c>
      <c r="D17" t="s">
        <v>31</v>
      </c>
      <c r="E17" s="12" t="s">
        <v>45</v>
      </c>
      <c r="F17" t="s">
        <v>0</v>
      </c>
    </row>
    <row r="18" spans="1:15" x14ac:dyDescent="0.25">
      <c r="A18" t="s">
        <v>20</v>
      </c>
      <c r="B18" t="s">
        <v>15</v>
      </c>
      <c r="C18">
        <v>450</v>
      </c>
      <c r="D18" t="s">
        <v>30</v>
      </c>
      <c r="E18" s="12" t="s">
        <v>46</v>
      </c>
      <c r="F18" t="s">
        <v>0</v>
      </c>
    </row>
    <row r="19" spans="1:15" x14ac:dyDescent="0.25">
      <c r="A19" t="s">
        <v>21</v>
      </c>
      <c r="B19" t="s">
        <v>27</v>
      </c>
      <c r="C19">
        <v>599</v>
      </c>
      <c r="D19" t="s">
        <v>30</v>
      </c>
      <c r="E19" s="12" t="s">
        <v>47</v>
      </c>
      <c r="F19" t="s">
        <v>0</v>
      </c>
    </row>
    <row r="20" spans="1:15" x14ac:dyDescent="0.25">
      <c r="A20" t="s">
        <v>21</v>
      </c>
      <c r="B20" t="s">
        <v>28</v>
      </c>
      <c r="C20">
        <v>433</v>
      </c>
      <c r="D20" t="s">
        <v>31</v>
      </c>
      <c r="E20" s="12" t="s">
        <v>48</v>
      </c>
      <c r="F20" t="s">
        <v>0</v>
      </c>
      <c r="O20" s="14"/>
    </row>
    <row r="21" spans="1:15" x14ac:dyDescent="0.25">
      <c r="A21" t="s">
        <v>22</v>
      </c>
      <c r="B21" t="s">
        <v>35</v>
      </c>
      <c r="C21">
        <v>451</v>
      </c>
      <c r="D21" t="s">
        <v>30</v>
      </c>
      <c r="E21" s="12" t="s">
        <v>50</v>
      </c>
      <c r="F21" t="s">
        <v>0</v>
      </c>
      <c r="O21" s="14"/>
    </row>
    <row r="22" spans="1:15" x14ac:dyDescent="0.25">
      <c r="A22" t="s">
        <v>22</v>
      </c>
      <c r="B22" t="s">
        <v>36</v>
      </c>
      <c r="C22">
        <v>451</v>
      </c>
      <c r="D22" t="s">
        <v>30</v>
      </c>
      <c r="E22" s="12" t="s">
        <v>50</v>
      </c>
      <c r="F22" t="s">
        <v>0</v>
      </c>
      <c r="O22" s="14"/>
    </row>
    <row r="23" spans="1:15" x14ac:dyDescent="0.25">
      <c r="A23" t="s">
        <v>37</v>
      </c>
      <c r="B23" t="s">
        <v>38</v>
      </c>
      <c r="C23">
        <v>1561</v>
      </c>
      <c r="D23" t="s">
        <v>31</v>
      </c>
      <c r="E23" s="12" t="s">
        <v>52</v>
      </c>
      <c r="F23" t="s">
        <v>0</v>
      </c>
      <c r="O23" s="14"/>
    </row>
    <row r="24" spans="1:15" x14ac:dyDescent="0.25">
      <c r="A24" t="s">
        <v>37</v>
      </c>
      <c r="B24" t="s">
        <v>39</v>
      </c>
      <c r="C24">
        <v>51</v>
      </c>
      <c r="D24" t="s">
        <v>31</v>
      </c>
      <c r="E24" s="12">
        <v>42686</v>
      </c>
      <c r="F24" t="s">
        <v>0</v>
      </c>
      <c r="O24" s="14"/>
    </row>
    <row r="25" spans="1:15" x14ac:dyDescent="0.25">
      <c r="A25" t="s">
        <v>37</v>
      </c>
      <c r="B25" t="s">
        <v>40</v>
      </c>
      <c r="C25">
        <v>15</v>
      </c>
      <c r="D25" t="s">
        <v>30</v>
      </c>
      <c r="E25" s="12">
        <v>42686</v>
      </c>
      <c r="F25" t="s">
        <v>0</v>
      </c>
      <c r="G25" s="6"/>
    </row>
    <row r="26" spans="1:15" x14ac:dyDescent="0.25">
      <c r="A26" t="s">
        <v>41</v>
      </c>
      <c r="B26" t="s">
        <v>42</v>
      </c>
      <c r="C26">
        <v>113</v>
      </c>
      <c r="D26" t="s">
        <v>30</v>
      </c>
      <c r="E26" s="12">
        <v>42686</v>
      </c>
      <c r="F26" t="s">
        <v>0</v>
      </c>
      <c r="G26" s="6"/>
    </row>
    <row r="27" spans="1:15" hidden="1" x14ac:dyDescent="0.25">
      <c r="E27" s="7"/>
      <c r="G27" s="6" t="s">
        <v>45</v>
      </c>
      <c r="H27" t="s">
        <v>0</v>
      </c>
    </row>
    <row r="28" spans="1:15" collapsed="1" x14ac:dyDescent="0.25">
      <c r="A28" t="s">
        <v>41</v>
      </c>
      <c r="B28" t="s">
        <v>43</v>
      </c>
      <c r="C28">
        <v>156</v>
      </c>
      <c r="D28" t="s">
        <v>31</v>
      </c>
      <c r="E28" s="12">
        <v>42686</v>
      </c>
      <c r="F28" t="s">
        <v>0</v>
      </c>
      <c r="G28" s="6"/>
    </row>
    <row r="29" spans="1:15" hidden="1" x14ac:dyDescent="0.25">
      <c r="A29" t="s">
        <v>22</v>
      </c>
      <c r="B29" t="s">
        <v>36</v>
      </c>
      <c r="C29">
        <v>789</v>
      </c>
      <c r="D29" t="s">
        <v>31</v>
      </c>
      <c r="E29" s="6" t="s">
        <v>51</v>
      </c>
      <c r="F29" t="s">
        <v>54</v>
      </c>
      <c r="G29" s="6" t="s">
        <v>46</v>
      </c>
      <c r="H29" t="s">
        <v>0</v>
      </c>
    </row>
    <row r="30" spans="1:15" collapsed="1" x14ac:dyDescent="0.25">
      <c r="A30" s="15" t="s">
        <v>12</v>
      </c>
      <c r="B30" s="16" t="s">
        <v>13</v>
      </c>
      <c r="C30" s="16">
        <v>100</v>
      </c>
      <c r="D30" s="16" t="s">
        <v>30</v>
      </c>
      <c r="E30" s="17">
        <v>42686</v>
      </c>
      <c r="F30" s="18" t="s">
        <v>1</v>
      </c>
      <c r="G30" s="6"/>
    </row>
    <row r="31" spans="1:15" hidden="1" x14ac:dyDescent="0.25">
      <c r="A31" s="15" t="s">
        <v>12</v>
      </c>
      <c r="B31" s="16" t="s">
        <v>14</v>
      </c>
      <c r="C31" s="16">
        <v>200</v>
      </c>
      <c r="D31" s="16" t="s">
        <v>31</v>
      </c>
      <c r="E31" s="17" t="s">
        <v>45</v>
      </c>
      <c r="F31" s="18" t="s">
        <v>54</v>
      </c>
      <c r="G31" s="6" t="s">
        <v>47</v>
      </c>
      <c r="H31" t="s">
        <v>0</v>
      </c>
    </row>
    <row r="32" spans="1:15" hidden="1" x14ac:dyDescent="0.25">
      <c r="A32" s="15" t="s">
        <v>20</v>
      </c>
      <c r="B32" s="16" t="s">
        <v>15</v>
      </c>
      <c r="C32" s="16">
        <v>450</v>
      </c>
      <c r="D32" s="16" t="s">
        <v>30</v>
      </c>
      <c r="E32" s="17" t="s">
        <v>46</v>
      </c>
      <c r="F32" s="18" t="s">
        <v>54</v>
      </c>
      <c r="G32" s="6" t="s">
        <v>48</v>
      </c>
      <c r="H32" t="s">
        <v>0</v>
      </c>
      <c r="O32" s="14"/>
    </row>
    <row r="33" spans="1:15" hidden="1" x14ac:dyDescent="0.25">
      <c r="A33" s="15" t="s">
        <v>21</v>
      </c>
      <c r="B33" s="16" t="s">
        <v>27</v>
      </c>
      <c r="C33" s="16">
        <v>599</v>
      </c>
      <c r="D33" s="16" t="s">
        <v>30</v>
      </c>
      <c r="E33" s="17" t="s">
        <v>47</v>
      </c>
      <c r="F33" s="18" t="s">
        <v>54</v>
      </c>
      <c r="G33" s="6" t="s">
        <v>49</v>
      </c>
      <c r="H33" t="s">
        <v>0</v>
      </c>
      <c r="O33" s="14"/>
    </row>
    <row r="34" spans="1:15" collapsed="1" x14ac:dyDescent="0.25">
      <c r="A34" s="15" t="s">
        <v>21</v>
      </c>
      <c r="B34" s="16" t="s">
        <v>28</v>
      </c>
      <c r="C34" s="16">
        <v>433</v>
      </c>
      <c r="D34" s="16" t="s">
        <v>31</v>
      </c>
      <c r="E34" s="17" t="s">
        <v>48</v>
      </c>
      <c r="F34" s="18" t="s">
        <v>1</v>
      </c>
      <c r="G34" s="6"/>
      <c r="O34" s="14"/>
    </row>
    <row r="35" spans="1:15" hidden="1" x14ac:dyDescent="0.25">
      <c r="A35" s="15" t="s">
        <v>21</v>
      </c>
      <c r="B35" s="16" t="s">
        <v>29</v>
      </c>
      <c r="C35" s="16">
        <v>242</v>
      </c>
      <c r="D35" s="16" t="s">
        <v>30</v>
      </c>
      <c r="E35" s="17" t="s">
        <v>49</v>
      </c>
      <c r="F35" s="18" t="s">
        <v>54</v>
      </c>
      <c r="G35" s="6" t="s">
        <v>50</v>
      </c>
      <c r="H35" t="s">
        <v>0</v>
      </c>
    </row>
    <row r="36" spans="1:15" hidden="1" x14ac:dyDescent="0.25">
      <c r="A36" s="15" t="s">
        <v>22</v>
      </c>
      <c r="B36" s="16" t="s">
        <v>35</v>
      </c>
      <c r="C36" s="16">
        <v>451</v>
      </c>
      <c r="D36" s="16" t="s">
        <v>30</v>
      </c>
      <c r="E36" s="17" t="s">
        <v>50</v>
      </c>
      <c r="F36" s="18" t="s">
        <v>54</v>
      </c>
      <c r="G36" s="6" t="s">
        <v>51</v>
      </c>
      <c r="H36" t="s">
        <v>0</v>
      </c>
      <c r="M36">
        <v>156</v>
      </c>
      <c r="O36" s="14">
        <v>42686</v>
      </c>
    </row>
    <row r="37" spans="1:15" collapsed="1" x14ac:dyDescent="0.25">
      <c r="A37" s="15" t="s">
        <v>22</v>
      </c>
      <c r="B37" s="16" t="s">
        <v>36</v>
      </c>
      <c r="C37" s="16">
        <v>789</v>
      </c>
      <c r="D37" s="16" t="s">
        <v>31</v>
      </c>
      <c r="E37" s="17" t="s">
        <v>51</v>
      </c>
      <c r="F37" s="18" t="s">
        <v>1</v>
      </c>
      <c r="G37" s="6"/>
    </row>
    <row r="38" spans="1:15" x14ac:dyDescent="0.25">
      <c r="A38" s="15" t="s">
        <v>22</v>
      </c>
      <c r="B38" s="16" t="s">
        <v>36</v>
      </c>
      <c r="C38" s="16">
        <v>789</v>
      </c>
      <c r="D38" s="16" t="s">
        <v>31</v>
      </c>
      <c r="E38" s="17" t="s">
        <v>51</v>
      </c>
      <c r="F38" s="18" t="s">
        <v>1</v>
      </c>
    </row>
    <row r="39" spans="1:15" x14ac:dyDescent="0.25">
      <c r="A39" s="15" t="s">
        <v>37</v>
      </c>
      <c r="B39" s="16" t="s">
        <v>38</v>
      </c>
      <c r="C39" s="16">
        <v>1561</v>
      </c>
      <c r="D39" s="16" t="s">
        <v>31</v>
      </c>
      <c r="E39" s="17" t="s">
        <v>52</v>
      </c>
      <c r="F39" s="18" t="s">
        <v>1</v>
      </c>
    </row>
    <row r="40" spans="1:15" x14ac:dyDescent="0.25">
      <c r="A40" s="15" t="s">
        <v>37</v>
      </c>
      <c r="B40" s="16" t="s">
        <v>39</v>
      </c>
      <c r="C40" s="16">
        <v>51</v>
      </c>
      <c r="D40" s="16" t="s">
        <v>31</v>
      </c>
      <c r="E40" s="17">
        <v>42686</v>
      </c>
      <c r="F40" s="18" t="s">
        <v>1</v>
      </c>
    </row>
    <row r="41" spans="1:15" x14ac:dyDescent="0.25">
      <c r="A41" s="15" t="s">
        <v>37</v>
      </c>
      <c r="B41" s="16" t="s">
        <v>40</v>
      </c>
      <c r="C41" s="16">
        <v>15</v>
      </c>
      <c r="D41" s="16" t="s">
        <v>30</v>
      </c>
      <c r="E41" s="17">
        <v>42686</v>
      </c>
      <c r="F41" s="18" t="s">
        <v>1</v>
      </c>
      <c r="G41" s="6"/>
    </row>
    <row r="42" spans="1:15" x14ac:dyDescent="0.25">
      <c r="A42" s="15" t="s">
        <v>41</v>
      </c>
      <c r="B42" s="16" t="s">
        <v>42</v>
      </c>
      <c r="C42" s="16">
        <v>113</v>
      </c>
      <c r="D42" s="16" t="s">
        <v>30</v>
      </c>
      <c r="E42" s="17">
        <v>42686</v>
      </c>
      <c r="F42" s="18" t="s">
        <v>1</v>
      </c>
    </row>
    <row r="43" spans="1:15" x14ac:dyDescent="0.25">
      <c r="A43" s="15" t="s">
        <v>41</v>
      </c>
      <c r="B43" s="16" t="s">
        <v>43</v>
      </c>
      <c r="C43" s="16">
        <v>156</v>
      </c>
      <c r="D43" s="16" t="s">
        <v>31</v>
      </c>
      <c r="E43" s="17">
        <v>42686</v>
      </c>
      <c r="F43" s="18" t="s">
        <v>1</v>
      </c>
    </row>
    <row r="44" spans="1:15" x14ac:dyDescent="0.25">
      <c r="A44" s="15" t="s">
        <v>12</v>
      </c>
      <c r="B44" s="16" t="s">
        <v>13</v>
      </c>
      <c r="C44" s="16">
        <v>100</v>
      </c>
      <c r="D44" s="16" t="s">
        <v>30</v>
      </c>
      <c r="E44" s="17">
        <v>42686</v>
      </c>
      <c r="F44" s="18" t="s">
        <v>2</v>
      </c>
      <c r="G44" s="6"/>
    </row>
    <row r="45" spans="1:15" x14ac:dyDescent="0.25">
      <c r="A45" s="15" t="s">
        <v>12</v>
      </c>
      <c r="B45" s="16" t="s">
        <v>14</v>
      </c>
      <c r="C45" s="16">
        <v>200</v>
      </c>
      <c r="D45" s="16" t="s">
        <v>31</v>
      </c>
      <c r="E45" s="17" t="s">
        <v>45</v>
      </c>
      <c r="F45" s="18" t="s">
        <v>2</v>
      </c>
      <c r="G45" s="6"/>
    </row>
    <row r="46" spans="1:15" x14ac:dyDescent="0.25">
      <c r="A46" s="15" t="s">
        <v>20</v>
      </c>
      <c r="B46" s="16" t="s">
        <v>15</v>
      </c>
      <c r="C46" s="16">
        <v>450</v>
      </c>
      <c r="D46" s="16" t="s">
        <v>30</v>
      </c>
      <c r="E46" s="17" t="s">
        <v>46</v>
      </c>
      <c r="F46" s="18" t="s">
        <v>2</v>
      </c>
    </row>
    <row r="47" spans="1:15" x14ac:dyDescent="0.25">
      <c r="A47" s="15" t="s">
        <v>21</v>
      </c>
      <c r="B47" s="16" t="s">
        <v>27</v>
      </c>
      <c r="C47" s="16">
        <v>599</v>
      </c>
      <c r="D47" s="16" t="s">
        <v>30</v>
      </c>
      <c r="E47" s="17" t="s">
        <v>47</v>
      </c>
      <c r="F47" s="18" t="s">
        <v>2</v>
      </c>
    </row>
    <row r="48" spans="1:15" x14ac:dyDescent="0.25">
      <c r="A48" s="15" t="s">
        <v>21</v>
      </c>
      <c r="B48" s="16" t="s">
        <v>28</v>
      </c>
      <c r="C48" s="16">
        <v>433</v>
      </c>
      <c r="D48" s="16" t="s">
        <v>31</v>
      </c>
      <c r="E48" s="17" t="s">
        <v>48</v>
      </c>
      <c r="F48" s="18" t="s">
        <v>2</v>
      </c>
    </row>
    <row r="49" spans="1:6" x14ac:dyDescent="0.25">
      <c r="A49" s="15" t="s">
        <v>22</v>
      </c>
      <c r="B49" s="16" t="s">
        <v>35</v>
      </c>
      <c r="C49" s="16">
        <v>451</v>
      </c>
      <c r="D49" s="16" t="s">
        <v>30</v>
      </c>
      <c r="E49" s="17" t="s">
        <v>50</v>
      </c>
      <c r="F49" s="18" t="s">
        <v>2</v>
      </c>
    </row>
    <row r="50" spans="1:6" x14ac:dyDescent="0.25">
      <c r="A50" s="15" t="s">
        <v>22</v>
      </c>
      <c r="B50" s="16" t="s">
        <v>36</v>
      </c>
      <c r="C50" s="16">
        <v>451</v>
      </c>
      <c r="D50" s="16" t="s">
        <v>30</v>
      </c>
      <c r="E50" s="17" t="s">
        <v>50</v>
      </c>
      <c r="F50" s="18" t="s">
        <v>2</v>
      </c>
    </row>
    <row r="51" spans="1:6" x14ac:dyDescent="0.25">
      <c r="A51" s="15" t="s">
        <v>37</v>
      </c>
      <c r="B51" s="16" t="s">
        <v>38</v>
      </c>
      <c r="C51" s="16">
        <v>1561</v>
      </c>
      <c r="D51" s="16" t="s">
        <v>31</v>
      </c>
      <c r="E51" s="17" t="s">
        <v>52</v>
      </c>
      <c r="F51" s="18" t="s">
        <v>2</v>
      </c>
    </row>
    <row r="52" spans="1:6" x14ac:dyDescent="0.25">
      <c r="A52" s="15" t="s">
        <v>37</v>
      </c>
      <c r="B52" s="16" t="s">
        <v>39</v>
      </c>
      <c r="C52" s="16">
        <v>51</v>
      </c>
      <c r="D52" s="16" t="s">
        <v>31</v>
      </c>
      <c r="E52" s="17">
        <v>42686</v>
      </c>
      <c r="F52" s="18" t="s">
        <v>2</v>
      </c>
    </row>
    <row r="53" spans="1:6" x14ac:dyDescent="0.25">
      <c r="A53" s="15" t="s">
        <v>37</v>
      </c>
      <c r="B53" s="16" t="s">
        <v>40</v>
      </c>
      <c r="C53" s="16">
        <v>15</v>
      </c>
      <c r="D53" s="16" t="s">
        <v>30</v>
      </c>
      <c r="E53" s="17">
        <v>42686</v>
      </c>
      <c r="F53" s="18" t="s">
        <v>2</v>
      </c>
    </row>
    <row r="54" spans="1:6" x14ac:dyDescent="0.25">
      <c r="A54" s="15" t="s">
        <v>41</v>
      </c>
      <c r="B54" s="16" t="s">
        <v>42</v>
      </c>
      <c r="C54" s="16">
        <v>113</v>
      </c>
      <c r="D54" s="16" t="s">
        <v>30</v>
      </c>
      <c r="E54" s="17">
        <v>42686</v>
      </c>
      <c r="F54" s="18" t="s">
        <v>2</v>
      </c>
    </row>
    <row r="55" spans="1:6" x14ac:dyDescent="0.25">
      <c r="A55" s="19" t="s">
        <v>41</v>
      </c>
      <c r="B55" s="20" t="s">
        <v>43</v>
      </c>
      <c r="C55" s="20">
        <v>156</v>
      </c>
      <c r="D55" s="20" t="s">
        <v>31</v>
      </c>
      <c r="E55" s="21">
        <v>42686</v>
      </c>
      <c r="F55" s="22" t="s">
        <v>2</v>
      </c>
    </row>
  </sheetData>
  <dataConsolidate>
    <dataRefs count="2">
      <dataRef ref="A2:F28" sheet="Planilha3"/>
      <dataRef ref="N2:O9" sheet="Planilha3"/>
    </dataRefs>
  </dataConsolidate>
  <dataValidations count="1">
    <dataValidation type="list" allowBlank="1" showInputMessage="1" showErrorMessage="1" sqref="A2:F29">
      <formula1>$N$2:$N$15</formula1>
    </dataValidation>
  </dataValidations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Planilha2</vt:lpstr>
      <vt:lpstr>Planilha1</vt:lpstr>
      <vt:lpstr>Planilha10</vt:lpstr>
      <vt:lpstr>Planilha13</vt:lpstr>
      <vt:lpstr>Planilha3</vt:lpstr>
      <vt:lpstr>maio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Figueiredo Marques</dc:creator>
  <cp:lastModifiedBy>Miguel Figueiredo Marques</cp:lastModifiedBy>
  <dcterms:created xsi:type="dcterms:W3CDTF">2016-03-14T18:45:57Z</dcterms:created>
  <dcterms:modified xsi:type="dcterms:W3CDTF">2016-03-15T05:49:35Z</dcterms:modified>
</cp:coreProperties>
</file>