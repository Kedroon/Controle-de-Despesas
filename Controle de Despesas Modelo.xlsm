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EstaPasta_de_trabalho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migue\Desktop\"/>
    </mc:Choice>
  </mc:AlternateContent>
  <bookViews>
    <workbookView xWindow="0" yWindow="0" windowWidth="28800" windowHeight="12210" tabRatio="487" activeTab="2"/>
  </bookViews>
  <sheets>
    <sheet name="Gráfico" sheetId="17" r:id="rId1"/>
    <sheet name="Relatório" sheetId="23" r:id="rId2"/>
    <sheet name="Despesas" sheetId="3" r:id="rId3"/>
    <sheet name="Banco de Dados" sheetId="15" r:id="rId4"/>
    <sheet name="Capa" sheetId="19" r:id="rId5"/>
  </sheets>
  <definedNames>
    <definedName name="Fornecedor1">'Banco de Dados'!$J$5:$J$7</definedName>
    <definedName name="Fornecedor2">'Banco de Dados'!$J$10:$J$11</definedName>
    <definedName name="Fornecedores">'Banco de Dados'!$B$3:$B$4</definedName>
  </definedNames>
  <calcPr calcId="162913"/>
  <pivotCaches>
    <pivotCache cacheId="0" r:id="rId6"/>
  </pivotCaches>
</workbook>
</file>

<file path=xl/calcChain.xml><?xml version="1.0" encoding="utf-8"?>
<calcChain xmlns="http://schemas.openxmlformats.org/spreadsheetml/2006/main">
  <c r="H3" i="3" l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2" i="3"/>
  <c r="A6" i="3"/>
  <c r="A7" i="3"/>
  <c r="A8" i="3" s="1"/>
  <c r="A9" i="3" s="1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M4" i="3"/>
  <c r="M5" i="3"/>
  <c r="N5" i="3" s="1"/>
  <c r="M6" i="3"/>
  <c r="N6" i="3" s="1"/>
  <c r="M7" i="3"/>
  <c r="N7" i="3" s="1"/>
  <c r="M8" i="3"/>
  <c r="N8" i="3" s="1"/>
  <c r="M9" i="3"/>
  <c r="N9" i="3" s="1"/>
  <c r="M10" i="3"/>
  <c r="N10" i="3" s="1"/>
  <c r="M11" i="3"/>
  <c r="N11" i="3" s="1"/>
  <c r="M12" i="3"/>
  <c r="N12" i="3" s="1"/>
  <c r="M13" i="3"/>
  <c r="N13" i="3" s="1"/>
  <c r="M14" i="3"/>
  <c r="N14" i="3" s="1"/>
  <c r="M15" i="3"/>
  <c r="N15" i="3" s="1"/>
  <c r="M16" i="3"/>
  <c r="N16" i="3" s="1"/>
  <c r="M17" i="3"/>
  <c r="N17" i="3" s="1"/>
  <c r="M18" i="3"/>
  <c r="N18" i="3" s="1"/>
  <c r="M19" i="3"/>
  <c r="N19" i="3" s="1"/>
  <c r="M20" i="3"/>
  <c r="N20" i="3" s="1"/>
  <c r="M21" i="3"/>
  <c r="N21" i="3" s="1"/>
  <c r="M22" i="3"/>
  <c r="N22" i="3" s="1"/>
  <c r="M23" i="3"/>
  <c r="N23" i="3" s="1"/>
  <c r="M24" i="3"/>
  <c r="N24" i="3" s="1"/>
  <c r="M25" i="3"/>
  <c r="N25" i="3" s="1"/>
  <c r="M26" i="3"/>
  <c r="N26" i="3" s="1"/>
  <c r="M27" i="3"/>
  <c r="N27" i="3" s="1"/>
  <c r="M28" i="3"/>
  <c r="N28" i="3" s="1"/>
  <c r="M29" i="3"/>
  <c r="N29" i="3" s="1"/>
  <c r="M30" i="3"/>
  <c r="N30" i="3" s="1"/>
  <c r="M31" i="3"/>
  <c r="N31" i="3" s="1"/>
  <c r="M32" i="3"/>
  <c r="N32" i="3" s="1"/>
  <c r="M33" i="3"/>
  <c r="N33" i="3" s="1"/>
  <c r="M34" i="3"/>
  <c r="N34" i="3" s="1"/>
  <c r="M35" i="3"/>
  <c r="N35" i="3" s="1"/>
  <c r="M36" i="3"/>
  <c r="N36" i="3" s="1"/>
  <c r="M37" i="3"/>
  <c r="N37" i="3" s="1"/>
  <c r="M38" i="3"/>
  <c r="N38" i="3" s="1"/>
  <c r="M39" i="3"/>
  <c r="N39" i="3" s="1"/>
  <c r="M40" i="3"/>
  <c r="N40" i="3" s="1"/>
  <c r="M41" i="3"/>
  <c r="N41" i="3" s="1"/>
  <c r="M42" i="3"/>
  <c r="N42" i="3" s="1"/>
  <c r="M43" i="3"/>
  <c r="N43" i="3" s="1"/>
  <c r="M44" i="3"/>
  <c r="N44" i="3" s="1"/>
  <c r="M45" i="3"/>
  <c r="N45" i="3" s="1"/>
  <c r="M46" i="3"/>
  <c r="N46" i="3" s="1"/>
  <c r="M47" i="3"/>
  <c r="N47" i="3" s="1"/>
  <c r="M48" i="3"/>
  <c r="N48" i="3" s="1"/>
  <c r="M49" i="3"/>
  <c r="N49" i="3" s="1"/>
  <c r="M50" i="3"/>
  <c r="N50" i="3" s="1"/>
  <c r="M51" i="3"/>
  <c r="N51" i="3" s="1"/>
  <c r="M52" i="3"/>
  <c r="N52" i="3" s="1"/>
  <c r="M53" i="3"/>
  <c r="N53" i="3" s="1"/>
  <c r="M54" i="3"/>
  <c r="N54" i="3" s="1"/>
  <c r="M55" i="3"/>
  <c r="N55" i="3" s="1"/>
  <c r="M56" i="3"/>
  <c r="N56" i="3" s="1"/>
  <c r="M57" i="3"/>
  <c r="N57" i="3" s="1"/>
  <c r="M58" i="3"/>
  <c r="N58" i="3" s="1"/>
  <c r="M59" i="3"/>
  <c r="N59" i="3" s="1"/>
  <c r="M60" i="3"/>
  <c r="N60" i="3" s="1"/>
  <c r="M61" i="3"/>
  <c r="N61" i="3" s="1"/>
  <c r="M62" i="3"/>
  <c r="N62" i="3" s="1"/>
  <c r="M63" i="3"/>
  <c r="N63" i="3" s="1"/>
  <c r="M64" i="3"/>
  <c r="N64" i="3" s="1"/>
  <c r="M65" i="3"/>
  <c r="N65" i="3" s="1"/>
  <c r="M66" i="3"/>
  <c r="N66" i="3" s="1"/>
  <c r="M67" i="3"/>
  <c r="N67" i="3" s="1"/>
  <c r="M68" i="3"/>
  <c r="N68" i="3" s="1"/>
  <c r="M69" i="3"/>
  <c r="N69" i="3" s="1"/>
  <c r="M70" i="3"/>
  <c r="N70" i="3" s="1"/>
  <c r="M71" i="3"/>
  <c r="N71" i="3" s="1"/>
  <c r="M72" i="3"/>
  <c r="N72" i="3" s="1"/>
  <c r="M73" i="3"/>
  <c r="N73" i="3" s="1"/>
  <c r="M74" i="3"/>
  <c r="N74" i="3" s="1"/>
  <c r="M75" i="3"/>
  <c r="N75" i="3" s="1"/>
  <c r="M76" i="3"/>
  <c r="N76" i="3" s="1"/>
  <c r="M77" i="3"/>
  <c r="N77" i="3" s="1"/>
  <c r="M78" i="3"/>
  <c r="N78" i="3" s="1"/>
  <c r="M79" i="3"/>
  <c r="N79" i="3" s="1"/>
  <c r="M80" i="3"/>
  <c r="N80" i="3" s="1"/>
  <c r="M81" i="3"/>
  <c r="N81" i="3" s="1"/>
  <c r="M82" i="3"/>
  <c r="N82" i="3" s="1"/>
  <c r="M83" i="3"/>
  <c r="N83" i="3" s="1"/>
  <c r="M84" i="3"/>
  <c r="N84" i="3" s="1"/>
  <c r="M85" i="3"/>
  <c r="N85" i="3" s="1"/>
  <c r="M86" i="3"/>
  <c r="N86" i="3" s="1"/>
  <c r="M87" i="3"/>
  <c r="N87" i="3" s="1"/>
  <c r="M88" i="3"/>
  <c r="N88" i="3" s="1"/>
  <c r="M89" i="3"/>
  <c r="N89" i="3" s="1"/>
  <c r="M90" i="3"/>
  <c r="N90" i="3" s="1"/>
  <c r="M91" i="3"/>
  <c r="N91" i="3" s="1"/>
  <c r="M92" i="3"/>
  <c r="N92" i="3" s="1"/>
  <c r="M93" i="3"/>
  <c r="N93" i="3" s="1"/>
  <c r="M94" i="3"/>
  <c r="N94" i="3" s="1"/>
  <c r="M95" i="3"/>
  <c r="N95" i="3" s="1"/>
  <c r="M96" i="3"/>
  <c r="N96" i="3" s="1"/>
  <c r="M97" i="3"/>
  <c r="N97" i="3" s="1"/>
  <c r="M98" i="3"/>
  <c r="N98" i="3" s="1"/>
  <c r="M99" i="3"/>
  <c r="N99" i="3" s="1"/>
  <c r="M100" i="3"/>
  <c r="N100" i="3" s="1"/>
  <c r="M101" i="3"/>
  <c r="N101" i="3" s="1"/>
  <c r="M102" i="3"/>
  <c r="N102" i="3" s="1"/>
  <c r="M103" i="3"/>
  <c r="N103" i="3" s="1"/>
  <c r="M104" i="3"/>
  <c r="N104" i="3" s="1"/>
  <c r="M105" i="3"/>
  <c r="N105" i="3" s="1"/>
  <c r="M106" i="3"/>
  <c r="N106" i="3" s="1"/>
  <c r="M107" i="3"/>
  <c r="N107" i="3" s="1"/>
  <c r="M108" i="3"/>
  <c r="N108" i="3" s="1"/>
  <c r="M109" i="3"/>
  <c r="N109" i="3" s="1"/>
  <c r="M110" i="3"/>
  <c r="N110" i="3" s="1"/>
  <c r="M111" i="3"/>
  <c r="N111" i="3" s="1"/>
  <c r="M112" i="3"/>
  <c r="N112" i="3" s="1"/>
  <c r="M113" i="3"/>
  <c r="N113" i="3" s="1"/>
  <c r="M114" i="3"/>
  <c r="N114" i="3" s="1"/>
  <c r="M115" i="3"/>
  <c r="N115" i="3" s="1"/>
  <c r="M116" i="3"/>
  <c r="N116" i="3" s="1"/>
  <c r="M117" i="3"/>
  <c r="N117" i="3" s="1"/>
  <c r="M118" i="3"/>
  <c r="N118" i="3" s="1"/>
  <c r="M119" i="3"/>
  <c r="N119" i="3" s="1"/>
  <c r="M120" i="3"/>
  <c r="N120" i="3" s="1"/>
  <c r="M121" i="3"/>
  <c r="N121" i="3" s="1"/>
  <c r="M122" i="3"/>
  <c r="N122" i="3" s="1"/>
  <c r="M123" i="3"/>
  <c r="N123" i="3" s="1"/>
  <c r="M124" i="3"/>
  <c r="N124" i="3" s="1"/>
  <c r="M125" i="3"/>
  <c r="N125" i="3" s="1"/>
  <c r="M126" i="3"/>
  <c r="N126" i="3" s="1"/>
  <c r="M127" i="3"/>
  <c r="N127" i="3" s="1"/>
  <c r="M128" i="3"/>
  <c r="N128" i="3" s="1"/>
  <c r="M129" i="3"/>
  <c r="N129" i="3" s="1"/>
  <c r="M130" i="3"/>
  <c r="N130" i="3" s="1"/>
  <c r="M131" i="3"/>
  <c r="N131" i="3" s="1"/>
  <c r="M132" i="3"/>
  <c r="N132" i="3" s="1"/>
  <c r="M133" i="3"/>
  <c r="N133" i="3" s="1"/>
  <c r="M134" i="3"/>
  <c r="N134" i="3" s="1"/>
  <c r="M135" i="3"/>
  <c r="N135" i="3" s="1"/>
  <c r="M136" i="3"/>
  <c r="N136" i="3" s="1"/>
  <c r="M137" i="3"/>
  <c r="N137" i="3" s="1"/>
  <c r="M138" i="3"/>
  <c r="N138" i="3" s="1"/>
  <c r="M139" i="3"/>
  <c r="N139" i="3" s="1"/>
  <c r="M140" i="3"/>
  <c r="N140" i="3" s="1"/>
  <c r="M141" i="3"/>
  <c r="N141" i="3" s="1"/>
  <c r="M142" i="3"/>
  <c r="N142" i="3" s="1"/>
  <c r="M143" i="3"/>
  <c r="N143" i="3" s="1"/>
  <c r="M144" i="3"/>
  <c r="N144" i="3" s="1"/>
  <c r="M145" i="3"/>
  <c r="N145" i="3" s="1"/>
  <c r="M146" i="3"/>
  <c r="N146" i="3" s="1"/>
  <c r="M147" i="3"/>
  <c r="N147" i="3" s="1"/>
  <c r="M148" i="3"/>
  <c r="N148" i="3" s="1"/>
  <c r="M149" i="3"/>
  <c r="N149" i="3" s="1"/>
  <c r="M150" i="3"/>
  <c r="N150" i="3" s="1"/>
  <c r="M151" i="3"/>
  <c r="N151" i="3" s="1"/>
  <c r="M152" i="3"/>
  <c r="N152" i="3" s="1"/>
  <c r="M153" i="3"/>
  <c r="N153" i="3" s="1"/>
  <c r="M154" i="3"/>
  <c r="N154" i="3" s="1"/>
  <c r="M155" i="3"/>
  <c r="N155" i="3" s="1"/>
  <c r="M156" i="3"/>
  <c r="N156" i="3" s="1"/>
  <c r="M157" i="3"/>
  <c r="N157" i="3" s="1"/>
  <c r="M158" i="3"/>
  <c r="N158" i="3" s="1"/>
  <c r="M159" i="3"/>
  <c r="N159" i="3" s="1"/>
  <c r="M160" i="3"/>
  <c r="N160" i="3" s="1"/>
  <c r="M161" i="3"/>
  <c r="N161" i="3" s="1"/>
  <c r="M162" i="3"/>
  <c r="N162" i="3" s="1"/>
  <c r="M163" i="3"/>
  <c r="N163" i="3" s="1"/>
  <c r="M164" i="3"/>
  <c r="N164" i="3" s="1"/>
  <c r="M165" i="3"/>
  <c r="N165" i="3" s="1"/>
  <c r="M166" i="3"/>
  <c r="N166" i="3" s="1"/>
  <c r="M167" i="3"/>
  <c r="N167" i="3" s="1"/>
  <c r="M168" i="3"/>
  <c r="N168" i="3" s="1"/>
  <c r="M169" i="3"/>
  <c r="N169" i="3" s="1"/>
  <c r="M170" i="3"/>
  <c r="N170" i="3" s="1"/>
  <c r="M171" i="3"/>
  <c r="N171" i="3" s="1"/>
  <c r="M172" i="3"/>
  <c r="N172" i="3" s="1"/>
  <c r="M173" i="3"/>
  <c r="N173" i="3" s="1"/>
  <c r="M174" i="3"/>
  <c r="N174" i="3" s="1"/>
  <c r="M175" i="3"/>
  <c r="N175" i="3" s="1"/>
  <c r="M176" i="3"/>
  <c r="N176" i="3" s="1"/>
  <c r="M177" i="3"/>
  <c r="N177" i="3" s="1"/>
  <c r="M178" i="3"/>
  <c r="N178" i="3" s="1"/>
  <c r="M179" i="3"/>
  <c r="N179" i="3" s="1"/>
  <c r="M180" i="3"/>
  <c r="N180" i="3" s="1"/>
  <c r="M181" i="3"/>
  <c r="N181" i="3" s="1"/>
  <c r="M182" i="3"/>
  <c r="N182" i="3" s="1"/>
  <c r="M183" i="3"/>
  <c r="N183" i="3" s="1"/>
  <c r="M184" i="3"/>
  <c r="N184" i="3" s="1"/>
  <c r="M185" i="3"/>
  <c r="N185" i="3" s="1"/>
  <c r="M186" i="3"/>
  <c r="N186" i="3" s="1"/>
  <c r="M187" i="3"/>
  <c r="N187" i="3" s="1"/>
  <c r="M188" i="3"/>
  <c r="N188" i="3" s="1"/>
  <c r="M189" i="3"/>
  <c r="N189" i="3" s="1"/>
  <c r="M190" i="3"/>
  <c r="N190" i="3" s="1"/>
  <c r="M191" i="3"/>
  <c r="N191" i="3" s="1"/>
  <c r="M192" i="3"/>
  <c r="N192" i="3" s="1"/>
  <c r="M193" i="3"/>
  <c r="N193" i="3" s="1"/>
  <c r="M194" i="3"/>
  <c r="N194" i="3" s="1"/>
  <c r="M195" i="3"/>
  <c r="N195" i="3" s="1"/>
  <c r="M196" i="3"/>
  <c r="N196" i="3" s="1"/>
  <c r="M197" i="3"/>
  <c r="N197" i="3" s="1"/>
  <c r="M198" i="3"/>
  <c r="N198" i="3" s="1"/>
  <c r="M199" i="3"/>
  <c r="N199" i="3" s="1"/>
  <c r="M200" i="3"/>
  <c r="N200" i="3" s="1"/>
  <c r="M201" i="3"/>
  <c r="N201" i="3" s="1"/>
  <c r="M202" i="3"/>
  <c r="N202" i="3" s="1"/>
  <c r="M203" i="3"/>
  <c r="N203" i="3" s="1"/>
  <c r="M204" i="3"/>
  <c r="N204" i="3" s="1"/>
  <c r="M205" i="3"/>
  <c r="N205" i="3" s="1"/>
  <c r="M206" i="3"/>
  <c r="N206" i="3" s="1"/>
  <c r="M207" i="3"/>
  <c r="N207" i="3" s="1"/>
  <c r="M208" i="3"/>
  <c r="N208" i="3" s="1"/>
  <c r="M209" i="3"/>
  <c r="N209" i="3" s="1"/>
  <c r="M210" i="3"/>
  <c r="N210" i="3" s="1"/>
  <c r="M211" i="3"/>
  <c r="N211" i="3" s="1"/>
  <c r="M212" i="3"/>
  <c r="N212" i="3" s="1"/>
  <c r="M213" i="3"/>
  <c r="N213" i="3" s="1"/>
  <c r="M214" i="3"/>
  <c r="N214" i="3" s="1"/>
  <c r="M215" i="3"/>
  <c r="N215" i="3" s="1"/>
  <c r="M216" i="3"/>
  <c r="N216" i="3" s="1"/>
  <c r="M217" i="3"/>
  <c r="N217" i="3" s="1"/>
  <c r="M218" i="3"/>
  <c r="N218" i="3" s="1"/>
  <c r="M219" i="3"/>
  <c r="N219" i="3" s="1"/>
  <c r="M220" i="3"/>
  <c r="N220" i="3" s="1"/>
  <c r="M221" i="3"/>
  <c r="N221" i="3" s="1"/>
  <c r="M222" i="3"/>
  <c r="N222" i="3" s="1"/>
  <c r="M223" i="3"/>
  <c r="N223" i="3" s="1"/>
  <c r="M224" i="3"/>
  <c r="N224" i="3" s="1"/>
  <c r="M225" i="3"/>
  <c r="N225" i="3" s="1"/>
  <c r="M226" i="3"/>
  <c r="N226" i="3" s="1"/>
  <c r="M227" i="3"/>
  <c r="N227" i="3" s="1"/>
  <c r="M228" i="3"/>
  <c r="N228" i="3" s="1"/>
  <c r="M229" i="3"/>
  <c r="N229" i="3" s="1"/>
  <c r="M230" i="3"/>
  <c r="N230" i="3" s="1"/>
  <c r="M231" i="3"/>
  <c r="N231" i="3" s="1"/>
  <c r="M232" i="3"/>
  <c r="N232" i="3" s="1"/>
  <c r="M233" i="3"/>
  <c r="N233" i="3" s="1"/>
  <c r="M234" i="3"/>
  <c r="N234" i="3" s="1"/>
  <c r="M235" i="3"/>
  <c r="N235" i="3" s="1"/>
  <c r="M236" i="3"/>
  <c r="N236" i="3" s="1"/>
  <c r="M237" i="3"/>
  <c r="N237" i="3" s="1"/>
  <c r="M238" i="3"/>
  <c r="N238" i="3" s="1"/>
  <c r="M239" i="3"/>
  <c r="N239" i="3" s="1"/>
  <c r="M240" i="3"/>
  <c r="N240" i="3" s="1"/>
  <c r="M241" i="3"/>
  <c r="N241" i="3" s="1"/>
  <c r="M242" i="3"/>
  <c r="N242" i="3" s="1"/>
  <c r="M243" i="3"/>
  <c r="N243" i="3" s="1"/>
  <c r="M244" i="3"/>
  <c r="N244" i="3" s="1"/>
  <c r="M245" i="3"/>
  <c r="N245" i="3" s="1"/>
  <c r="M246" i="3"/>
  <c r="N246" i="3" s="1"/>
  <c r="M247" i="3"/>
  <c r="N247" i="3" s="1"/>
  <c r="M248" i="3"/>
  <c r="N248" i="3" s="1"/>
  <c r="M249" i="3"/>
  <c r="N249" i="3" s="1"/>
  <c r="M250" i="3"/>
  <c r="N250" i="3" s="1"/>
  <c r="M251" i="3"/>
  <c r="N251" i="3" s="1"/>
  <c r="M252" i="3"/>
  <c r="N252" i="3" s="1"/>
  <c r="M253" i="3"/>
  <c r="N253" i="3" s="1"/>
  <c r="M254" i="3"/>
  <c r="N254" i="3" s="1"/>
  <c r="M255" i="3"/>
  <c r="N255" i="3" s="1"/>
  <c r="M256" i="3"/>
  <c r="N256" i="3" s="1"/>
  <c r="M257" i="3"/>
  <c r="N257" i="3" s="1"/>
  <c r="M258" i="3"/>
  <c r="N258" i="3" s="1"/>
  <c r="M259" i="3"/>
  <c r="N259" i="3" s="1"/>
  <c r="M260" i="3"/>
  <c r="N260" i="3" s="1"/>
  <c r="M261" i="3"/>
  <c r="N261" i="3" s="1"/>
  <c r="M262" i="3"/>
  <c r="N262" i="3" s="1"/>
  <c r="M263" i="3"/>
  <c r="N263" i="3" s="1"/>
  <c r="M264" i="3"/>
  <c r="N264" i="3" s="1"/>
  <c r="M265" i="3"/>
  <c r="N265" i="3" s="1"/>
  <c r="M266" i="3"/>
  <c r="N266" i="3" s="1"/>
  <c r="M267" i="3"/>
  <c r="N267" i="3" s="1"/>
  <c r="M268" i="3"/>
  <c r="N268" i="3" s="1"/>
  <c r="M269" i="3"/>
  <c r="N269" i="3" s="1"/>
  <c r="M270" i="3"/>
  <c r="N270" i="3" s="1"/>
  <c r="M271" i="3"/>
  <c r="N271" i="3" s="1"/>
  <c r="M272" i="3"/>
  <c r="N272" i="3" s="1"/>
  <c r="M273" i="3"/>
  <c r="N273" i="3" s="1"/>
  <c r="M274" i="3"/>
  <c r="N274" i="3" s="1"/>
  <c r="M275" i="3"/>
  <c r="N275" i="3" s="1"/>
  <c r="M276" i="3"/>
  <c r="N276" i="3" s="1"/>
  <c r="M277" i="3"/>
  <c r="N277" i="3" s="1"/>
  <c r="M278" i="3"/>
  <c r="N278" i="3" s="1"/>
  <c r="M279" i="3"/>
  <c r="N279" i="3" s="1"/>
  <c r="M280" i="3"/>
  <c r="N280" i="3" s="1"/>
  <c r="M281" i="3"/>
  <c r="N281" i="3" s="1"/>
  <c r="M282" i="3"/>
  <c r="N282" i="3" s="1"/>
  <c r="M283" i="3"/>
  <c r="N283" i="3" s="1"/>
  <c r="M284" i="3"/>
  <c r="N284" i="3" s="1"/>
  <c r="M285" i="3"/>
  <c r="N285" i="3" s="1"/>
  <c r="M286" i="3"/>
  <c r="N286" i="3" s="1"/>
  <c r="M287" i="3"/>
  <c r="N287" i="3" s="1"/>
  <c r="M288" i="3"/>
  <c r="N288" i="3" s="1"/>
  <c r="M289" i="3"/>
  <c r="N289" i="3" s="1"/>
  <c r="M290" i="3"/>
  <c r="N290" i="3" s="1"/>
  <c r="M291" i="3"/>
  <c r="N291" i="3" s="1"/>
  <c r="M292" i="3"/>
  <c r="N292" i="3" s="1"/>
  <c r="M293" i="3"/>
  <c r="N293" i="3" s="1"/>
  <c r="M294" i="3"/>
  <c r="N294" i="3" s="1"/>
  <c r="M295" i="3"/>
  <c r="N295" i="3" s="1"/>
  <c r="M296" i="3"/>
  <c r="N296" i="3" s="1"/>
  <c r="M297" i="3"/>
  <c r="N297" i="3" s="1"/>
  <c r="M298" i="3"/>
  <c r="N298" i="3" s="1"/>
  <c r="M299" i="3"/>
  <c r="N299" i="3" s="1"/>
  <c r="M300" i="3"/>
  <c r="N300" i="3" s="1"/>
  <c r="M301" i="3"/>
  <c r="N301" i="3" s="1"/>
  <c r="M302" i="3"/>
  <c r="N302" i="3" s="1"/>
  <c r="M303" i="3"/>
  <c r="N303" i="3" s="1"/>
  <c r="M304" i="3"/>
  <c r="N304" i="3" s="1"/>
  <c r="M305" i="3"/>
  <c r="N305" i="3" s="1"/>
  <c r="M306" i="3"/>
  <c r="N306" i="3" s="1"/>
  <c r="M307" i="3"/>
  <c r="M308" i="3"/>
  <c r="H307" i="3"/>
  <c r="H308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M3" i="3"/>
  <c r="M2" i="3"/>
  <c r="I5" i="15"/>
  <c r="I10" i="15"/>
  <c r="I11" i="15"/>
  <c r="I6" i="15"/>
  <c r="I7" i="15"/>
  <c r="N4" i="3" l="1"/>
  <c r="N2" i="3" l="1"/>
  <c r="N3" i="3"/>
  <c r="W14" i="15" l="1"/>
  <c r="W13" i="15"/>
  <c r="W12" i="15"/>
  <c r="W11" i="15"/>
  <c r="W10" i="15"/>
  <c r="W9" i="15"/>
  <c r="W8" i="15"/>
  <c r="W7" i="15"/>
  <c r="W6" i="15"/>
  <c r="W5" i="15"/>
  <c r="W4" i="15"/>
  <c r="W3" i="15"/>
  <c r="R63" i="19" l="1"/>
  <c r="S47" i="19"/>
  <c r="S45" i="19"/>
  <c r="S44" i="19"/>
  <c r="S43" i="19"/>
  <c r="S42" i="19"/>
  <c r="S49" i="19" s="1"/>
  <c r="E38" i="19"/>
  <c r="A2" i="3"/>
  <c r="A3" i="3" s="1"/>
  <c r="A4" i="3" s="1"/>
  <c r="A5" i="3" s="1"/>
  <c r="F2" i="3" l="1"/>
  <c r="E2" i="3"/>
  <c r="F3" i="3"/>
  <c r="E3" i="3"/>
</calcChain>
</file>

<file path=xl/sharedStrings.xml><?xml version="1.0" encoding="utf-8"?>
<sst xmlns="http://schemas.openxmlformats.org/spreadsheetml/2006/main" count="207" uniqueCount="134">
  <si>
    <t>Despesas</t>
  </si>
  <si>
    <t>Rótulos de Linha</t>
  </si>
  <si>
    <t>Total Geral</t>
  </si>
  <si>
    <t>Rótulos de Coluna</t>
  </si>
  <si>
    <t>Chave</t>
  </si>
  <si>
    <t>Tipo</t>
  </si>
  <si>
    <t>Valor</t>
  </si>
  <si>
    <t>Vencimento</t>
  </si>
  <si>
    <t>Mes</t>
  </si>
  <si>
    <t>Janeiro</t>
  </si>
  <si>
    <t>Fevereiro</t>
  </si>
  <si>
    <t>Banco de Dados</t>
  </si>
  <si>
    <t>Fornecedores</t>
  </si>
  <si>
    <t>Forma</t>
  </si>
  <si>
    <t>Boleto</t>
  </si>
  <si>
    <t>NF</t>
  </si>
  <si>
    <t>Soma de Valor</t>
  </si>
  <si>
    <t>Índice</t>
  </si>
  <si>
    <t>Pagamento</t>
  </si>
  <si>
    <t>Status Pagamento</t>
  </si>
  <si>
    <t>Período</t>
  </si>
  <si>
    <t>Mês</t>
  </si>
  <si>
    <t>Fornecedor</t>
  </si>
  <si>
    <t>Descrição</t>
  </si>
  <si>
    <t>Forma de Pagamento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</si>
  <si>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</si>
  <si>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</si>
  <si>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</si>
  <si>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</si>
  <si>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</si>
  <si>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</si>
  <si>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</si>
  <si>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</si>
  <si>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</si>
  <si>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</si>
  <si>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NF/DEPÓSITO</t>
  </si>
  <si>
    <t>NF/BOLETO</t>
  </si>
  <si>
    <t>BOLETO</t>
  </si>
  <si>
    <t>DÉBITO</t>
  </si>
  <si>
    <t>FATURA</t>
  </si>
  <si>
    <t>FIXO</t>
  </si>
  <si>
    <t>VARIÁVEL</t>
  </si>
  <si>
    <t>Agencia</t>
  </si>
  <si>
    <t>Cta Corrente</t>
  </si>
  <si>
    <t>Regular/Irregular</t>
  </si>
  <si>
    <t>Contrato</t>
  </si>
  <si>
    <t>Pedido</t>
  </si>
  <si>
    <t>Regular</t>
  </si>
  <si>
    <t>Irregular</t>
  </si>
  <si>
    <t>Com Contrato</t>
  </si>
  <si>
    <t>Sem Contrato</t>
  </si>
  <si>
    <t xml:space="preserve"> </t>
  </si>
  <si>
    <t>PEDIDO DE APROVAÇÃO PARA PAGAMENTOS DE DESPESAS</t>
  </si>
  <si>
    <t>ADM-2015</t>
  </si>
  <si>
    <t xml:space="preserve">Unidade:  </t>
  </si>
  <si>
    <t>Sumaré</t>
  </si>
  <si>
    <t>X</t>
  </si>
  <si>
    <t>Manaus</t>
  </si>
  <si>
    <t>Centro de Custo  :</t>
  </si>
  <si>
    <t>MAO</t>
  </si>
  <si>
    <t>Debito Aut.</t>
  </si>
  <si>
    <t>Depósito</t>
  </si>
  <si>
    <t>Agência:</t>
  </si>
  <si>
    <t>Cta Corrente:</t>
  </si>
  <si>
    <t>Banco:</t>
  </si>
  <si>
    <t xml:space="preserve">Orçamento (OB /RB) aprovado .  Mês </t>
  </si>
  <si>
    <t>CPF / CNPJ:</t>
  </si>
  <si>
    <t>Sem Orçamento (OB/RB) -  Ringisho No.</t>
  </si>
  <si>
    <t xml:space="preserve">Regular </t>
  </si>
  <si>
    <t xml:space="preserve">Irregular (spot) </t>
  </si>
  <si>
    <t>Sem Contrato . Informar Motivo :</t>
  </si>
  <si>
    <t>Favorecido (beneficiary)</t>
  </si>
  <si>
    <t>Vencimento:</t>
  </si>
  <si>
    <t xml:space="preserve">Descrição </t>
  </si>
  <si>
    <t xml:space="preserve">Valor R$ </t>
  </si>
  <si>
    <t xml:space="preserve">Assinatura de Aprovação ( Authorize Signature) </t>
  </si>
  <si>
    <t>Elaborado por</t>
  </si>
  <si>
    <t>Financeiro</t>
  </si>
  <si>
    <t>Supervisor</t>
  </si>
  <si>
    <t>Gerente</t>
  </si>
  <si>
    <t>Diretor</t>
  </si>
  <si>
    <t>Emissão:</t>
  </si>
  <si>
    <t>VALOR DA NF</t>
  </si>
  <si>
    <t>PIS</t>
  </si>
  <si>
    <t>COFINS</t>
  </si>
  <si>
    <t>IRRF</t>
  </si>
  <si>
    <t>CSLL</t>
  </si>
  <si>
    <t>INSS</t>
  </si>
  <si>
    <t>ISS</t>
  </si>
  <si>
    <t>TOTAL A PAGAR</t>
  </si>
  <si>
    <t>Obs:</t>
  </si>
  <si>
    <t>Total NF</t>
  </si>
  <si>
    <t xml:space="preserve">I.R - </t>
  </si>
  <si>
    <t>%</t>
  </si>
  <si>
    <t>PCC -</t>
  </si>
  <si>
    <t>ISS -</t>
  </si>
  <si>
    <t>INSS -</t>
  </si>
  <si>
    <t xml:space="preserve">Juros - </t>
  </si>
  <si>
    <t xml:space="preserve">Descontos - </t>
  </si>
  <si>
    <t>Outros -</t>
  </si>
  <si>
    <t>Total a Liquido</t>
  </si>
  <si>
    <t>CSD</t>
  </si>
  <si>
    <t>HAB Coordination</t>
  </si>
  <si>
    <t>L1</t>
  </si>
  <si>
    <t>Part Center</t>
  </si>
  <si>
    <t>Sales</t>
  </si>
  <si>
    <t>Form. Pagamento</t>
  </si>
  <si>
    <t>DEPÓSITO</t>
  </si>
  <si>
    <t>Banco</t>
  </si>
  <si>
    <t>CNPJ/CPF</t>
  </si>
  <si>
    <t>Dia de Vencimento</t>
  </si>
  <si>
    <t>Motivo</t>
  </si>
  <si>
    <t>Orçamento</t>
  </si>
  <si>
    <t>Total Soma de Valor</t>
  </si>
  <si>
    <t>Total Soma de Orçamento</t>
  </si>
  <si>
    <t>Soma de Orçamento</t>
  </si>
  <si>
    <t>Variação</t>
  </si>
  <si>
    <t>Total Média de Variação</t>
  </si>
  <si>
    <t>Média de Variação</t>
  </si>
  <si>
    <t>Bradesco</t>
  </si>
  <si>
    <t>Fornecedor1</t>
  </si>
  <si>
    <t xml:space="preserve">Motivo </t>
  </si>
  <si>
    <t>Servico1</t>
  </si>
  <si>
    <t>Servico2</t>
  </si>
  <si>
    <t>Itau</t>
  </si>
  <si>
    <t>Fornecedor2</t>
  </si>
  <si>
    <t>Motivo2</t>
  </si>
  <si>
    <t>Servico3</t>
  </si>
  <si>
    <t>Servico4</t>
  </si>
  <si>
    <t>OK</t>
  </si>
  <si>
    <t>AG</t>
  </si>
  <si>
    <t>Fornecedor1 Total</t>
  </si>
  <si>
    <t>Fornecedor2 Total</t>
  </si>
  <si>
    <t>(Vários itens)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</si>
</sst>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_-&quot;R$&quot;\ * #,##0.00_-;\-&quot;R$&quot;\ * #,##0.00_-;_-&quot;R$&quot;\ * &quot;-&quot;??_-;_-@_-"/>
    <numFmt numFmtId="165" formatCode="_-* #,##0.00_-;\-* #,##0.00_-;_-* &quot;-&quot;??_-;_-@_-"/>
    <numFmt numFmtId="166" formatCode="[$-416]d\-mmm\-yy;@"/>
    <numFmt numFmtId="167" formatCode="dd/mm/yy;@"/>
    <numFmt numFmtId="168" formatCode="_(&quot;R$ &quot;* #,##0.00_);_(&quot;R$ &quot;* \(#,##0.00\);_(&quot;R$ &quot;* &quot;-&quot;??_);_(@_)"/>
    <numFmt numFmtId="169" formatCode="&quot;R$ &quot;#,##0.00"/>
    <numFmt numFmtId="170" formatCode="dd/mm/yyyy"/>
    <numFmt numFmtId="171" formatCode="[$R$-416]\ #,##0.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0"/>
      <name val="Arial"/>
      <family val="2"/>
    </font>
    <font>
      <b/>
      <sz val="12"/>
      <color indexed="8"/>
      <name val="Arial"/>
      <family val="2"/>
    </font>
    <font>
      <sz val="12"/>
      <name val="Arial"/>
      <family val="2"/>
    </font>
    <font>
      <b/>
      <sz val="12"/>
      <color theme="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9"/>
      <color theme="0" tint="-0.34998626667073579"/>
      <name val="Arial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FF6D6D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9" fillId="0" borderId="0"/>
    <xf numFmtId="168" fontId="9" fillId="0" borderId="0" applyFont="0" applyFill="0" applyBorder="0" applyAlignment="0" applyProtection="0"/>
  </cellStyleXfs>
  <cellXfs count="198">
    <xf numFmtId="0" fontId="0" fillId="0" borderId="0" xfId="0"/>
    <xf numFmtId="0" fontId="0" fillId="0" borderId="0" xfId="0" applyBorder="1"/>
    <xf numFmtId="0" fontId="0" fillId="0" borderId="0" xfId="0" applyFont="1" applyFill="1" applyBorder="1"/>
    <xf numFmtId="166" fontId="0" fillId="0" borderId="0" xfId="0" applyNumberFormat="1" applyBorder="1"/>
    <xf numFmtId="0" fontId="0" fillId="0" borderId="1" xfId="0" applyBorder="1"/>
    <xf numFmtId="0" fontId="0" fillId="0" borderId="0" xfId="0" applyFont="1"/>
    <xf numFmtId="0" fontId="0" fillId="0" borderId="0" xfId="0" applyBorder="1" applyAlignment="1"/>
    <xf numFmtId="0" fontId="0" fillId="0" borderId="4" xfId="0" applyBorder="1" applyProtection="1"/>
    <xf numFmtId="0" fontId="0" fillId="0" borderId="5" xfId="0" applyBorder="1" applyProtection="1"/>
    <xf numFmtId="0" fontId="0" fillId="0" borderId="6" xfId="0" applyBorder="1" applyProtection="1"/>
    <xf numFmtId="0" fontId="0" fillId="0" borderId="7" xfId="0" applyBorder="1" applyProtection="1"/>
    <xf numFmtId="0" fontId="0" fillId="0" borderId="0" xfId="0" applyBorder="1" applyProtection="1"/>
    <xf numFmtId="0" fontId="0" fillId="0" borderId="8" xfId="0" applyBorder="1" applyProtection="1"/>
    <xf numFmtId="0" fontId="3" fillId="0" borderId="0" xfId="0" applyFont="1" applyBorder="1" applyProtection="1"/>
    <xf numFmtId="0" fontId="0" fillId="0" borderId="7" xfId="0" applyBorder="1" applyAlignment="1" applyProtection="1">
      <alignment horizontal="left"/>
    </xf>
    <xf numFmtId="0" fontId="3" fillId="0" borderId="0" xfId="0" applyFont="1" applyBorder="1" applyAlignment="1" applyProtection="1">
      <alignment horizontal="left"/>
    </xf>
    <xf numFmtId="0" fontId="3" fillId="0" borderId="0" xfId="0" applyFont="1" applyBorder="1" applyAlignment="1" applyProtection="1">
      <alignment vertical="top"/>
    </xf>
    <xf numFmtId="0" fontId="3" fillId="0" borderId="8" xfId="0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 vertical="center" wrapText="1"/>
    </xf>
    <xf numFmtId="1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" fontId="4" fillId="0" borderId="8" xfId="0" applyNumberFormat="1" applyFont="1" applyBorder="1" applyAlignment="1" applyProtection="1">
      <alignment horizontal="center" vertical="center" wrapText="1"/>
    </xf>
    <xf numFmtId="0" fontId="0" fillId="0" borderId="7" xfId="0" applyBorder="1" applyAlignment="1" applyProtection="1">
      <alignment vertical="center"/>
    </xf>
    <xf numFmtId="0" fontId="4" fillId="0" borderId="0" xfId="0" applyFont="1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5" fillId="0" borderId="0" xfId="0" applyFont="1" applyBorder="1" applyAlignment="1" applyProtection="1">
      <alignment vertical="center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vertical="center"/>
    </xf>
    <xf numFmtId="0" fontId="0" fillId="0" borderId="8" xfId="0" applyBorder="1" applyAlignment="1" applyProtection="1">
      <alignment vertical="center"/>
    </xf>
    <xf numFmtId="0" fontId="4" fillId="0" borderId="0" xfId="0" applyFont="1" applyBorder="1" applyProtection="1"/>
    <xf numFmtId="0" fontId="5" fillId="0" borderId="0" xfId="0" applyFont="1" applyBorder="1" applyAlignment="1" applyProtection="1">
      <alignment horizontal="left"/>
    </xf>
    <xf numFmtId="0" fontId="6" fillId="0" borderId="0" xfId="0" applyFont="1"/>
    <xf numFmtId="0" fontId="6" fillId="0" borderId="7" xfId="0" applyFont="1" applyBorder="1" applyProtection="1"/>
    <xf numFmtId="0" fontId="6" fillId="0" borderId="0" xfId="0" applyFont="1" applyBorder="1" applyProtection="1"/>
    <xf numFmtId="0" fontId="5" fillId="0" borderId="0" xfId="0" applyFont="1" applyBorder="1" applyAlignment="1" applyProtection="1">
      <alignment horizontal="center"/>
    </xf>
    <xf numFmtId="0" fontId="6" fillId="0" borderId="8" xfId="0" applyFont="1" applyBorder="1" applyProtection="1"/>
    <xf numFmtId="0" fontId="3" fillId="0" borderId="0" xfId="0" applyFont="1"/>
    <xf numFmtId="0" fontId="3" fillId="0" borderId="11" xfId="0" applyFont="1" applyBorder="1" applyProtection="1"/>
    <xf numFmtId="0" fontId="3" fillId="3" borderId="1" xfId="0" applyFont="1" applyFill="1" applyBorder="1" applyAlignment="1" applyProtection="1">
      <alignment horizontal="center"/>
      <protection locked="0"/>
    </xf>
    <xf numFmtId="0" fontId="3" fillId="0" borderId="12" xfId="0" applyFont="1" applyBorder="1" applyProtection="1"/>
    <xf numFmtId="0" fontId="3" fillId="4" borderId="13" xfId="0" applyNumberFormat="1" applyFont="1" applyFill="1" applyBorder="1" applyAlignment="1" applyProtection="1">
      <alignment horizontal="left"/>
      <protection locked="0"/>
    </xf>
    <xf numFmtId="49" fontId="3" fillId="0" borderId="8" xfId="0" applyNumberFormat="1" applyFont="1" applyBorder="1" applyAlignment="1" applyProtection="1">
      <alignment horizontal="left"/>
    </xf>
    <xf numFmtId="0" fontId="3" fillId="0" borderId="7" xfId="0" applyFont="1" applyBorder="1" applyProtection="1"/>
    <xf numFmtId="0" fontId="3" fillId="0" borderId="0" xfId="0" applyFont="1" applyBorder="1" applyAlignment="1" applyProtection="1">
      <alignment horizontal="center"/>
    </xf>
    <xf numFmtId="49" fontId="3" fillId="4" borderId="13" xfId="0" applyNumberFormat="1" applyFont="1" applyFill="1" applyBorder="1" applyAlignment="1" applyProtection="1">
      <alignment horizontal="left"/>
      <protection locked="0"/>
    </xf>
    <xf numFmtId="0" fontId="3" fillId="0" borderId="8" xfId="0" applyFont="1" applyBorder="1" applyAlignment="1" applyProtection="1">
      <alignment horizontal="left"/>
    </xf>
    <xf numFmtId="0" fontId="3" fillId="0" borderId="0" xfId="0" applyFont="1" applyProtection="1"/>
    <xf numFmtId="0" fontId="7" fillId="0" borderId="0" xfId="0" applyFont="1" applyBorder="1" applyProtection="1"/>
    <xf numFmtId="0" fontId="3" fillId="0" borderId="0" xfId="0" applyFont="1" applyBorder="1" applyAlignment="1" applyProtection="1">
      <alignment horizontal="left" vertical="center"/>
    </xf>
    <xf numFmtId="0" fontId="3" fillId="0" borderId="8" xfId="0" applyFont="1" applyBorder="1" applyAlignment="1" applyProtection="1">
      <alignment horizontal="left" wrapText="1"/>
    </xf>
    <xf numFmtId="0" fontId="3" fillId="3" borderId="2" xfId="0" applyFont="1" applyFill="1" applyBorder="1" applyAlignment="1" applyProtection="1">
      <alignment horizontal="center"/>
      <protection locked="0"/>
    </xf>
    <xf numFmtId="49" fontId="3" fillId="4" borderId="13" xfId="0" applyNumberFormat="1" applyFont="1" applyFill="1" applyBorder="1" applyAlignment="1" applyProtection="1">
      <alignment horizontal="left" wrapText="1"/>
      <protection locked="0"/>
    </xf>
    <xf numFmtId="0" fontId="3" fillId="0" borderId="8" xfId="0" applyFont="1" applyBorder="1" applyAlignment="1" applyProtection="1">
      <alignment horizontal="center"/>
    </xf>
    <xf numFmtId="0" fontId="3" fillId="0" borderId="14" xfId="0" applyFont="1" applyBorder="1" applyProtection="1"/>
    <xf numFmtId="14" fontId="0" fillId="0" borderId="0" xfId="0" applyNumberFormat="1" applyBorder="1" applyProtection="1"/>
    <xf numFmtId="14" fontId="3" fillId="0" borderId="8" xfId="0" applyNumberFormat="1" applyFont="1" applyFill="1" applyBorder="1" applyAlignment="1" applyProtection="1">
      <alignment horizontal="center" vertical="center" wrapText="1"/>
    </xf>
    <xf numFmtId="0" fontId="3" fillId="0" borderId="8" xfId="0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 wrapText="1"/>
    </xf>
    <xf numFmtId="0" fontId="3" fillId="0" borderId="8" xfId="0" applyFont="1" applyBorder="1" applyProtection="1"/>
    <xf numFmtId="39" fontId="3" fillId="0" borderId="8" xfId="2" applyNumberFormat="1" applyFont="1" applyBorder="1" applyAlignment="1" applyProtection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vertical="center" wrapText="1"/>
    </xf>
    <xf numFmtId="0" fontId="3" fillId="0" borderId="8" xfId="0" applyFont="1" applyBorder="1" applyAlignment="1" applyProtection="1">
      <alignment horizontal="center" vertical="center"/>
    </xf>
    <xf numFmtId="0" fontId="6" fillId="0" borderId="2" xfId="0" applyFont="1" applyBorder="1" applyAlignment="1" applyProtection="1">
      <alignment horizontal="center"/>
      <protection locked="0"/>
    </xf>
    <xf numFmtId="14" fontId="10" fillId="0" borderId="0" xfId="0" applyNumberFormat="1" applyFont="1" applyBorder="1" applyAlignment="1" applyProtection="1">
      <alignment horizontal="right"/>
    </xf>
    <xf numFmtId="0" fontId="6" fillId="0" borderId="0" xfId="0" applyFont="1" applyBorder="1" applyAlignment="1" applyProtection="1">
      <alignment horizontal="center"/>
    </xf>
    <xf numFmtId="0" fontId="6" fillId="0" borderId="0" xfId="0" applyFont="1" applyProtection="1"/>
    <xf numFmtId="0" fontId="6" fillId="0" borderId="27" xfId="0" applyFont="1" applyBorder="1" applyProtection="1"/>
    <xf numFmtId="22" fontId="6" fillId="0" borderId="28" xfId="0" applyNumberFormat="1" applyFont="1" applyBorder="1" applyProtection="1"/>
    <xf numFmtId="0" fontId="6" fillId="0" borderId="28" xfId="0" applyFont="1" applyBorder="1" applyProtection="1"/>
    <xf numFmtId="0" fontId="6" fillId="0" borderId="29" xfId="0" applyFont="1" applyBorder="1" applyProtection="1"/>
    <xf numFmtId="0" fontId="9" fillId="0" borderId="0" xfId="0" applyFont="1" applyBorder="1" applyProtection="1"/>
    <xf numFmtId="0" fontId="0" fillId="0" borderId="0" xfId="0" applyProtection="1"/>
    <xf numFmtId="0" fontId="9" fillId="0" borderId="0" xfId="0" applyFont="1" applyProtection="1"/>
    <xf numFmtId="0" fontId="11" fillId="0" borderId="0" xfId="0" applyFont="1" applyBorder="1" applyAlignment="1" applyProtection="1">
      <alignment horizontal="left"/>
    </xf>
    <xf numFmtId="169" fontId="4" fillId="6" borderId="32" xfId="0" applyNumberFormat="1" applyFont="1" applyFill="1" applyBorder="1" applyAlignment="1" applyProtection="1">
      <alignment vertical="center"/>
    </xf>
    <xf numFmtId="0" fontId="10" fillId="0" borderId="7" xfId="0" applyFont="1" applyBorder="1" applyProtection="1"/>
    <xf numFmtId="169" fontId="9" fillId="0" borderId="8" xfId="2" applyNumberFormat="1" applyFont="1" applyBorder="1" applyAlignment="1" applyProtection="1">
      <alignment horizontal="right"/>
    </xf>
    <xf numFmtId="168" fontId="9" fillId="0" borderId="0" xfId="2" applyNumberFormat="1" applyFont="1" applyBorder="1" applyProtection="1"/>
    <xf numFmtId="168" fontId="0" fillId="0" borderId="0" xfId="0" applyNumberFormat="1" applyProtection="1"/>
    <xf numFmtId="0" fontId="9" fillId="0" borderId="0" xfId="0" applyFont="1" applyBorder="1" applyAlignment="1" applyProtection="1">
      <alignment horizontal="left"/>
    </xf>
    <xf numFmtId="168" fontId="9" fillId="0" borderId="0" xfId="0" applyNumberFormat="1" applyFont="1" applyProtection="1"/>
    <xf numFmtId="0" fontId="11" fillId="0" borderId="0" xfId="0" applyFont="1" applyFill="1" applyBorder="1" applyAlignment="1" applyProtection="1">
      <alignment horizontal="left"/>
    </xf>
    <xf numFmtId="0" fontId="11" fillId="0" borderId="0" xfId="0" applyFont="1" applyProtection="1"/>
    <xf numFmtId="0" fontId="9" fillId="0" borderId="0" xfId="0" applyFont="1" applyAlignment="1" applyProtection="1">
      <alignment horizontal="center"/>
    </xf>
    <xf numFmtId="0" fontId="12" fillId="0" borderId="0" xfId="0" applyFont="1" applyFill="1" applyBorder="1" applyAlignment="1" applyProtection="1">
      <alignment horizontal="left"/>
    </xf>
    <xf numFmtId="168" fontId="4" fillId="0" borderId="0" xfId="0" applyNumberFormat="1" applyFont="1" applyProtection="1"/>
    <xf numFmtId="0" fontId="0" fillId="0" borderId="0" xfId="0" applyBorder="1" applyProtection="1">
      <protection locked="0"/>
    </xf>
    <xf numFmtId="0" fontId="9" fillId="0" borderId="0" xfId="0" applyFont="1" applyBorder="1" applyProtection="1">
      <protection locked="0"/>
    </xf>
    <xf numFmtId="0" fontId="9" fillId="0" borderId="0" xfId="0" applyFont="1" applyBorder="1" applyAlignment="1" applyProtection="1">
      <alignment horizontal="left"/>
      <protection locked="0"/>
    </xf>
    <xf numFmtId="0" fontId="9" fillId="0" borderId="0" xfId="0" applyFont="1" applyBorder="1" applyAlignment="1" applyProtection="1">
      <alignment horizontal="center"/>
      <protection locked="0"/>
    </xf>
    <xf numFmtId="164" fontId="2" fillId="0" borderId="0" xfId="2" applyBorder="1" applyProtection="1"/>
    <xf numFmtId="0" fontId="0" fillId="0" borderId="0" xfId="0" applyProtection="1">
      <protection locked="0"/>
    </xf>
    <xf numFmtId="0" fontId="9" fillId="0" borderId="0" xfId="0" applyFont="1" applyProtection="1">
      <protection locked="0"/>
    </xf>
    <xf numFmtId="0" fontId="13" fillId="0" borderId="33" xfId="0" applyFont="1" applyBorder="1" applyProtection="1"/>
    <xf numFmtId="0" fontId="13" fillId="0" borderId="34" xfId="0" applyFont="1" applyBorder="1" applyAlignment="1" applyProtection="1">
      <alignment horizontal="center"/>
    </xf>
    <xf numFmtId="0" fontId="13" fillId="0" borderId="36" xfId="0" applyFont="1" applyBorder="1" applyProtection="1"/>
    <xf numFmtId="0" fontId="13" fillId="0" borderId="1" xfId="0" applyFont="1" applyBorder="1" applyAlignment="1" applyProtection="1">
      <alignment horizontal="center"/>
    </xf>
    <xf numFmtId="0" fontId="13" fillId="0" borderId="1" xfId="0" applyFont="1" applyBorder="1" applyProtection="1"/>
    <xf numFmtId="0" fontId="13" fillId="0" borderId="38" xfId="0" applyFont="1" applyBorder="1" applyProtection="1"/>
    <xf numFmtId="0" fontId="13" fillId="0" borderId="39" xfId="0" applyFont="1" applyBorder="1" applyProtection="1"/>
    <xf numFmtId="0" fontId="9" fillId="0" borderId="0" xfId="0" applyFont="1"/>
    <xf numFmtId="0" fontId="14" fillId="0" borderId="0" xfId="0" applyFont="1"/>
    <xf numFmtId="0" fontId="6" fillId="0" borderId="0" xfId="0" applyFont="1" applyBorder="1"/>
    <xf numFmtId="0" fontId="10" fillId="0" borderId="0" xfId="0" applyFont="1"/>
    <xf numFmtId="0" fontId="3" fillId="0" borderId="0" xfId="0" applyFont="1" applyBorder="1"/>
    <xf numFmtId="0" fontId="3" fillId="0" borderId="0" xfId="0" applyFont="1" applyBorder="1" applyAlignment="1">
      <alignment horizontal="center" vertical="center"/>
    </xf>
    <xf numFmtId="0" fontId="4" fillId="0" borderId="0" xfId="3" applyFont="1" applyBorder="1"/>
    <xf numFmtId="0" fontId="9" fillId="0" borderId="0" xfId="3" applyFont="1" applyBorder="1" applyAlignment="1">
      <alignment horizontal="left"/>
    </xf>
    <xf numFmtId="0" fontId="9" fillId="0" borderId="0" xfId="3" applyBorder="1" applyAlignment="1">
      <alignment horizontal="left"/>
    </xf>
    <xf numFmtId="0" fontId="9" fillId="0" borderId="0" xfId="3" applyFont="1" applyBorder="1"/>
    <xf numFmtId="10" fontId="9" fillId="0" borderId="0" xfId="3" applyNumberFormat="1" applyFont="1" applyBorder="1" applyAlignment="1">
      <alignment horizontal="left"/>
    </xf>
    <xf numFmtId="169" fontId="9" fillId="0" borderId="0" xfId="4" applyNumberFormat="1" applyFont="1" applyBorder="1" applyAlignment="1">
      <alignment horizontal="right"/>
    </xf>
    <xf numFmtId="169" fontId="9" fillId="0" borderId="0" xfId="3" applyNumberFormat="1" applyFont="1" applyBorder="1"/>
    <xf numFmtId="0" fontId="6" fillId="0" borderId="0" xfId="0" applyFont="1" applyBorder="1" applyAlignment="1"/>
    <xf numFmtId="0" fontId="6" fillId="0" borderId="0" xfId="0" applyNumberFormat="1" applyFont="1" applyBorder="1"/>
    <xf numFmtId="169" fontId="4" fillId="0" borderId="0" xfId="3" applyNumberFormat="1" applyFont="1" applyBorder="1"/>
    <xf numFmtId="0" fontId="1" fillId="0" borderId="0" xfId="0" applyFont="1" applyBorder="1" applyAlignment="1"/>
    <xf numFmtId="170" fontId="0" fillId="0" borderId="1" xfId="0" applyNumberFormat="1" applyBorder="1"/>
    <xf numFmtId="0" fontId="1" fillId="0" borderId="0" xfId="0" applyFont="1" applyFill="1" applyBorder="1" applyAlignment="1"/>
    <xf numFmtId="0" fontId="0" fillId="0" borderId="0" xfId="0" applyFont="1" applyFill="1" applyBorder="1" applyAlignment="1"/>
    <xf numFmtId="0" fontId="0" fillId="0" borderId="1" xfId="0" pivotButton="1" applyBorder="1"/>
    <xf numFmtId="10" fontId="0" fillId="0" borderId="1" xfId="0" applyNumberFormat="1" applyBorder="1"/>
    <xf numFmtId="171" fontId="0" fillId="0" borderId="1" xfId="0" applyNumberFormat="1" applyBorder="1"/>
    <xf numFmtId="10" fontId="1" fillId="0" borderId="1" xfId="0" applyNumberFormat="1" applyFont="1" applyBorder="1"/>
    <xf numFmtId="0" fontId="0" fillId="0" borderId="1" xfId="0" applyFont="1" applyBorder="1"/>
    <xf numFmtId="171" fontId="0" fillId="0" borderId="1" xfId="0" applyNumberFormat="1" applyFont="1" applyBorder="1"/>
    <xf numFmtId="0" fontId="16" fillId="7" borderId="0" xfId="0" applyFont="1" applyFill="1" applyBorder="1"/>
    <xf numFmtId="171" fontId="16" fillId="7" borderId="0" xfId="0" applyNumberFormat="1" applyFont="1" applyFill="1" applyBorder="1"/>
    <xf numFmtId="170" fontId="16" fillId="7" borderId="0" xfId="0" applyNumberFormat="1" applyFont="1" applyFill="1" applyBorder="1"/>
    <xf numFmtId="14" fontId="16" fillId="7" borderId="0" xfId="0" applyNumberFormat="1" applyFont="1" applyFill="1" applyBorder="1"/>
    <xf numFmtId="10" fontId="16" fillId="7" borderId="0" xfId="0" applyNumberFormat="1" applyFont="1" applyFill="1" applyBorder="1"/>
    <xf numFmtId="171" fontId="0" fillId="0" borderId="0" xfId="0" applyNumberFormat="1" applyBorder="1"/>
    <xf numFmtId="170" fontId="0" fillId="0" borderId="0" xfId="0" applyNumberFormat="1" applyBorder="1"/>
    <xf numFmtId="10" fontId="0" fillId="0" borderId="0" xfId="0" applyNumberFormat="1" applyBorder="1"/>
    <xf numFmtId="0" fontId="0" fillId="2" borderId="1" xfId="0" applyFont="1" applyFill="1" applyBorder="1"/>
    <xf numFmtId="171" fontId="0" fillId="2" borderId="1" xfId="0" applyNumberFormat="1" applyFont="1" applyFill="1" applyBorder="1"/>
    <xf numFmtId="170" fontId="0" fillId="2" borderId="1" xfId="0" applyNumberFormat="1" applyFont="1" applyFill="1" applyBorder="1" applyAlignment="1">
      <alignment horizontal="right"/>
    </xf>
    <xf numFmtId="0" fontId="0" fillId="0" borderId="1" xfId="0" applyNumberFormat="1" applyFont="1" applyBorder="1"/>
    <xf numFmtId="10" fontId="0" fillId="0" borderId="1" xfId="0" applyNumberFormat="1" applyFont="1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indent="1"/>
    </xf>
    <xf numFmtId="0" fontId="0" fillId="8" borderId="1" xfId="0" applyFont="1" applyFill="1" applyBorder="1"/>
    <xf numFmtId="171" fontId="0" fillId="8" borderId="1" xfId="0" applyNumberFormat="1" applyFont="1" applyFill="1" applyBorder="1"/>
    <xf numFmtId="170" fontId="0" fillId="8" borderId="1" xfId="0" applyNumberFormat="1" applyFont="1" applyFill="1" applyBorder="1" applyAlignment="1">
      <alignment horizontal="right"/>
    </xf>
    <xf numFmtId="10" fontId="1" fillId="8" borderId="1" xfId="0" applyNumberFormat="1" applyFont="1" applyFill="1" applyBorder="1"/>
    <xf numFmtId="10" fontId="0" fillId="2" borderId="1" xfId="0" applyNumberFormat="1" applyFont="1" applyFill="1" applyBorder="1"/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0" xfId="0" applyFont="1" applyBorder="1" applyAlignment="1" applyProtection="1"/>
    <xf numFmtId="0" fontId="0" fillId="0" borderId="41" xfId="0" applyBorder="1" applyAlignment="1" applyProtection="1"/>
    <xf numFmtId="164" fontId="13" fillId="5" borderId="42" xfId="2" applyFont="1" applyFill="1" applyBorder="1" applyAlignment="1" applyProtection="1">
      <alignment horizontal="center"/>
    </xf>
    <xf numFmtId="164" fontId="13" fillId="5" borderId="43" xfId="2" applyFont="1" applyFill="1" applyBorder="1" applyAlignment="1" applyProtection="1">
      <alignment horizontal="center"/>
    </xf>
    <xf numFmtId="164" fontId="4" fillId="0" borderId="0" xfId="2" applyFont="1" applyBorder="1" applyAlignment="1">
      <alignment horizontal="center"/>
    </xf>
    <xf numFmtId="0" fontId="9" fillId="0" borderId="0" xfId="3" applyFont="1" applyBorder="1" applyAlignment="1">
      <alignment horizontal="left"/>
    </xf>
    <xf numFmtId="0" fontId="9" fillId="0" borderId="0" xfId="3" applyBorder="1" applyAlignment="1">
      <alignment horizontal="left"/>
    </xf>
    <xf numFmtId="0" fontId="4" fillId="0" borderId="0" xfId="3" applyFont="1" applyFill="1" applyBorder="1" applyAlignment="1">
      <alignment horizontal="center"/>
    </xf>
    <xf numFmtId="164" fontId="13" fillId="3" borderId="1" xfId="2" applyFont="1" applyFill="1" applyBorder="1" applyAlignment="1" applyProtection="1">
      <alignment horizontal="center"/>
      <protection locked="0"/>
    </xf>
    <xf numFmtId="164" fontId="13" fillId="3" borderId="37" xfId="2" applyFont="1" applyFill="1" applyBorder="1" applyAlignment="1" applyProtection="1">
      <alignment horizontal="center"/>
      <protection locked="0"/>
    </xf>
    <xf numFmtId="165" fontId="13" fillId="3" borderId="1" xfId="1" applyFont="1" applyFill="1" applyBorder="1" applyAlignment="1" applyProtection="1">
      <alignment horizontal="center"/>
      <protection locked="0"/>
    </xf>
    <xf numFmtId="165" fontId="13" fillId="3" borderId="37" xfId="1" applyFont="1" applyFill="1" applyBorder="1" applyAlignment="1" applyProtection="1">
      <alignment horizontal="center"/>
      <protection locked="0"/>
    </xf>
    <xf numFmtId="165" fontId="13" fillId="3" borderId="39" xfId="1" applyFont="1" applyFill="1" applyBorder="1" applyAlignment="1" applyProtection="1">
      <alignment horizontal="center"/>
      <protection locked="0"/>
    </xf>
    <xf numFmtId="165" fontId="13" fillId="3" borderId="40" xfId="1" applyFont="1" applyFill="1" applyBorder="1" applyAlignment="1" applyProtection="1">
      <alignment horizontal="center"/>
      <protection locked="0"/>
    </xf>
    <xf numFmtId="10" fontId="9" fillId="0" borderId="0" xfId="0" applyNumberFormat="1" applyFont="1" applyBorder="1" applyAlignment="1" applyProtection="1">
      <alignment horizontal="center"/>
    </xf>
    <xf numFmtId="0" fontId="4" fillId="6" borderId="30" xfId="0" applyFont="1" applyFill="1" applyBorder="1" applyAlignment="1" applyProtection="1">
      <alignment vertical="center"/>
    </xf>
    <xf numFmtId="0" fontId="4" fillId="6" borderId="31" xfId="0" applyFont="1" applyFill="1" applyBorder="1" applyAlignment="1" applyProtection="1">
      <alignment vertical="center"/>
    </xf>
    <xf numFmtId="0" fontId="8" fillId="5" borderId="30" xfId="0" applyFont="1" applyFill="1" applyBorder="1" applyAlignment="1" applyProtection="1">
      <alignment horizontal="center"/>
    </xf>
    <xf numFmtId="0" fontId="8" fillId="5" borderId="32" xfId="0" applyFont="1" applyFill="1" applyBorder="1" applyAlignment="1" applyProtection="1">
      <alignment horizontal="center"/>
    </xf>
    <xf numFmtId="164" fontId="8" fillId="3" borderId="30" xfId="2" applyFont="1" applyFill="1" applyBorder="1" applyAlignment="1" applyProtection="1">
      <alignment horizontal="center"/>
      <protection locked="0"/>
    </xf>
    <xf numFmtId="164" fontId="8" fillId="3" borderId="32" xfId="2" applyFont="1" applyFill="1" applyBorder="1" applyAlignment="1" applyProtection="1">
      <alignment horizontal="center"/>
      <protection locked="0"/>
    </xf>
    <xf numFmtId="164" fontId="13" fillId="3" borderId="34" xfId="2" applyFont="1" applyFill="1" applyBorder="1" applyAlignment="1" applyProtection="1">
      <alignment horizontal="center"/>
      <protection locked="0"/>
    </xf>
    <xf numFmtId="164" fontId="13" fillId="3" borderId="35" xfId="2" applyFont="1" applyFill="1" applyBorder="1" applyAlignment="1" applyProtection="1">
      <alignment horizontal="center"/>
      <protection locked="0"/>
    </xf>
    <xf numFmtId="0" fontId="6" fillId="0" borderId="2" xfId="0" applyFont="1" applyBorder="1" applyAlignment="1" applyProtection="1">
      <alignment horizontal="center"/>
      <protection locked="0"/>
    </xf>
    <xf numFmtId="167" fontId="4" fillId="0" borderId="3" xfId="0" applyNumberFormat="1" applyFont="1" applyFill="1" applyBorder="1" applyAlignment="1" applyProtection="1">
      <alignment horizontal="center" vertical="center"/>
    </xf>
    <xf numFmtId="167" fontId="4" fillId="0" borderId="9" xfId="0" applyNumberFormat="1" applyFont="1" applyFill="1" applyBorder="1" applyAlignment="1" applyProtection="1">
      <alignment horizontal="center" vertical="center"/>
    </xf>
    <xf numFmtId="167" fontId="4" fillId="0" borderId="10" xfId="0" applyNumberFormat="1" applyFont="1" applyFill="1" applyBorder="1" applyAlignment="1" applyProtection="1">
      <alignment horizontal="center" vertical="center"/>
    </xf>
    <xf numFmtId="0" fontId="3" fillId="3" borderId="2" xfId="0" applyFont="1" applyFill="1" applyBorder="1" applyAlignment="1" applyProtection="1">
      <alignment horizontal="center"/>
      <protection locked="0"/>
    </xf>
    <xf numFmtId="0" fontId="3" fillId="3" borderId="2" xfId="0" applyFont="1" applyFill="1" applyBorder="1" applyAlignment="1" applyProtection="1">
      <alignment horizontal="left"/>
      <protection locked="0"/>
    </xf>
    <xf numFmtId="17" fontId="3" fillId="3" borderId="15" xfId="0" applyNumberFormat="1" applyFont="1" applyFill="1" applyBorder="1" applyAlignment="1" applyProtection="1">
      <alignment horizontal="center" vertical="center" wrapText="1"/>
      <protection locked="0"/>
    </xf>
    <xf numFmtId="0" fontId="3" fillId="3" borderId="15" xfId="0" applyFont="1" applyFill="1" applyBorder="1" applyAlignment="1" applyProtection="1">
      <alignment horizontal="center" vertical="center" wrapText="1"/>
      <protection locked="0"/>
    </xf>
    <xf numFmtId="0" fontId="3" fillId="3" borderId="16" xfId="0" applyFont="1" applyFill="1" applyBorder="1" applyAlignment="1" applyProtection="1">
      <alignment horizontal="center" vertical="center" wrapText="1"/>
      <protection locked="0"/>
    </xf>
    <xf numFmtId="170" fontId="3" fillId="3" borderId="13" xfId="0" applyNumberFormat="1" applyFont="1" applyFill="1" applyBorder="1" applyAlignment="1" applyProtection="1">
      <alignment horizontal="center" vertical="center" wrapText="1"/>
      <protection locked="0"/>
    </xf>
    <xf numFmtId="17" fontId="8" fillId="3" borderId="17" xfId="0" applyNumberFormat="1" applyFont="1" applyFill="1" applyBorder="1" applyAlignment="1" applyProtection="1">
      <alignment horizontal="center" vertical="center" wrapText="1"/>
      <protection locked="0"/>
    </xf>
    <xf numFmtId="17" fontId="8" fillId="3" borderId="18" xfId="0" applyNumberFormat="1" applyFont="1" applyFill="1" applyBorder="1" applyAlignment="1" applyProtection="1">
      <alignment horizontal="center" vertical="center" wrapText="1"/>
      <protection locked="0"/>
    </xf>
    <xf numFmtId="17" fontId="8" fillId="3" borderId="19" xfId="0" applyNumberFormat="1" applyFont="1" applyFill="1" applyBorder="1" applyAlignment="1" applyProtection="1">
      <alignment horizontal="center" vertical="center" wrapText="1"/>
      <protection locked="0"/>
    </xf>
    <xf numFmtId="17" fontId="8" fillId="3" borderId="21" xfId="0" applyNumberFormat="1" applyFont="1" applyFill="1" applyBorder="1" applyAlignment="1" applyProtection="1">
      <alignment horizontal="center" vertical="center" wrapText="1"/>
      <protection locked="0"/>
    </xf>
    <xf numFmtId="17" fontId="8" fillId="3" borderId="0" xfId="0" applyNumberFormat="1" applyFont="1" applyFill="1" applyBorder="1" applyAlignment="1" applyProtection="1">
      <alignment horizontal="center" vertical="center" wrapText="1"/>
      <protection locked="0"/>
    </xf>
    <xf numFmtId="17" fontId="8" fillId="3" borderId="12" xfId="0" applyNumberFormat="1" applyFont="1" applyFill="1" applyBorder="1" applyAlignment="1" applyProtection="1">
      <alignment horizontal="center" vertical="center" wrapText="1"/>
      <protection locked="0"/>
    </xf>
    <xf numFmtId="17" fontId="8" fillId="3" borderId="23" xfId="0" applyNumberFormat="1" applyFont="1" applyFill="1" applyBorder="1" applyAlignment="1" applyProtection="1">
      <alignment horizontal="center" vertical="center" wrapText="1"/>
      <protection locked="0"/>
    </xf>
    <xf numFmtId="17" fontId="8" fillId="3" borderId="24" xfId="0" applyNumberFormat="1" applyFont="1" applyFill="1" applyBorder="1" applyAlignment="1" applyProtection="1">
      <alignment horizontal="center" vertical="center" wrapText="1"/>
      <protection locked="0"/>
    </xf>
    <xf numFmtId="17" fontId="8" fillId="3" borderId="25" xfId="0" applyNumberFormat="1" applyFont="1" applyFill="1" applyBorder="1" applyAlignment="1" applyProtection="1">
      <alignment horizontal="center" vertical="center" wrapText="1"/>
      <protection locked="0"/>
    </xf>
    <xf numFmtId="169" fontId="3" fillId="5" borderId="20" xfId="2" applyNumberFormat="1" applyFont="1" applyFill="1" applyBorder="1" applyAlignment="1" applyProtection="1">
      <alignment horizontal="center" vertical="center" wrapText="1"/>
    </xf>
    <xf numFmtId="164" fontId="3" fillId="5" borderId="22" xfId="2" applyFont="1" applyFill="1" applyBorder="1" applyAlignment="1" applyProtection="1">
      <alignment horizontal="center" vertical="center" wrapText="1"/>
    </xf>
    <xf numFmtId="164" fontId="3" fillId="5" borderId="26" xfId="2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 vertical="center"/>
    </xf>
  </cellXfs>
  <cellStyles count="5">
    <cellStyle name="Moeda" xfId="2" builtinId="4"/>
    <cellStyle name="Moeda 2" xfId="4"/>
    <cellStyle name="Normal" xfId="0" builtinId="0"/>
    <cellStyle name="Normal 2" xfId="3"/>
    <cellStyle name="Vírgula" xfId="1" builtinId="3"/>
  </cellStyles>
  <dxfs count="23">
    <dxf>
      <numFmt numFmtId="171" formatCode="[$R$-416]\ #,##0.00"/>
    </dxf>
    <dxf>
      <numFmt numFmtId="171" formatCode="[$R$-416]\ #,##0.00"/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F6D6D"/>
      <color rgb="FFFF4B4B"/>
      <color rgb="FFFFB3B3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0</xdr:row>
          <xdr:rowOff>133350</xdr:rowOff>
        </xdr:from>
        <xdr:to>
          <xdr:col>20</xdr:col>
          <xdr:colOff>209550</xdr:colOff>
          <xdr:row>4</xdr:row>
          <xdr:rowOff>152400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ABRIR FORMULÁRIO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66675</xdr:rowOff>
    </xdr:from>
    <xdr:to>
      <xdr:col>8</xdr:col>
      <xdr:colOff>257175</xdr:colOff>
      <xdr:row>4</xdr:row>
      <xdr:rowOff>0</xdr:rowOff>
    </xdr:to>
    <xdr:pic>
      <xdr:nvPicPr>
        <xdr:cNvPr id="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66675"/>
          <a:ext cx="228600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guel Figueiredo Marques" refreshedDate="42456.921094907404" createdVersion="6" refreshedVersion="6" minRefreshableVersion="3" recordCount="377">
  <cacheSource type="worksheet">
    <worksheetSource ref="A1:N1048576" sheet="Despesas"/>
  </cacheSource>
  <cacheFields count="14">
    <cacheField name="Índice" numFmtId="0">
      <sharedItems containsBlank="1" containsMixedTypes="1" containsNumber="1" containsInteger="1" minValue="1" maxValue="4"/>
    </cacheField>
    <cacheField name="Fornecedor" numFmtId="0">
      <sharedItems containsBlank="1" count="3">
        <s v="Fornecedor1"/>
        <s v="Fornecedor2"/>
        <m/>
      </sharedItems>
    </cacheField>
    <cacheField name="Descrição" numFmtId="0">
      <sharedItems containsBlank="1" count="5">
        <s v="Servico2"/>
        <s v="Servico1"/>
        <s v="Servico3"/>
        <s v="Servico4"/>
        <m/>
      </sharedItems>
    </cacheField>
    <cacheField name="Período" numFmtId="0">
      <sharedItems containsNonDate="0" containsString="0" containsBlank="1"/>
    </cacheField>
    <cacheField name="Form. Pagamento" numFmtId="0">
      <sharedItems containsBlank="1"/>
    </cacheField>
    <cacheField name="Tipo" numFmtId="0">
      <sharedItems containsBlank="1" count="4">
        <s v="FIXO"/>
        <s v="VARIÁVEL"/>
        <s v=""/>
        <m/>
      </sharedItems>
    </cacheField>
    <cacheField name="Valor" numFmtId="171">
      <sharedItems containsString="0" containsBlank="1" containsNumber="1" containsInteger="1" minValue="160" maxValue="2600"/>
    </cacheField>
    <cacheField name="Vencimento" numFmtId="0">
      <sharedItems containsBlank="1" containsMixedTypes="1" containsNumber="1" containsInteger="1" minValue="15" maxValue="20"/>
    </cacheField>
    <cacheField name="Mes" numFmtId="0">
      <sharedItems containsBlank="1" count="3">
        <s v="Março"/>
        <s v="Abril"/>
        <m/>
      </sharedItems>
    </cacheField>
    <cacheField name="Pagamento" numFmtId="0">
      <sharedItems containsBlank="1"/>
    </cacheField>
    <cacheField name="NF" numFmtId="0">
      <sharedItems containsNonDate="0" containsString="0" containsBlank="1"/>
    </cacheField>
    <cacheField name="Pedido" numFmtId="0">
      <sharedItems containsNonDate="0" containsString="0" containsBlank="1"/>
    </cacheField>
    <cacheField name="Orçamento" numFmtId="171">
      <sharedItems containsBlank="1" containsMixedTypes="1" containsNumber="1" containsInteger="1" minValue="150" maxValue="2000"/>
    </cacheField>
    <cacheField name="Variação" numFmtId="10">
      <sharedItems containsBlank="1" containsMixedTypes="1" containsNumber="1" minValue="4.7619047619047616E-2" maxValue="0.25" count="8">
        <n v="0.2"/>
        <n v="0.25"/>
        <n v="0.23076923076923078"/>
        <n v="9.0909090909090912E-2"/>
        <n v="6.25E-2"/>
        <n v="4.7619047619047616E-2"/>
        <s v="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7">
  <r>
    <n v="1"/>
    <x v="0"/>
    <x v="0"/>
    <m/>
    <s v="NF/BOLETO"/>
    <x v="0"/>
    <n v="250"/>
    <n v="16"/>
    <x v="0"/>
    <s v="AG"/>
    <m/>
    <m/>
    <n v="200"/>
    <x v="0"/>
  </r>
  <r>
    <n v="2"/>
    <x v="0"/>
    <x v="1"/>
    <m/>
    <s v="BOLETO"/>
    <x v="0"/>
    <n v="200"/>
    <n v="15"/>
    <x v="0"/>
    <m/>
    <m/>
    <m/>
    <n v="150"/>
    <x v="1"/>
  </r>
  <r>
    <n v="3"/>
    <x v="1"/>
    <x v="2"/>
    <m/>
    <s v="BOLETO"/>
    <x v="0"/>
    <n v="2500"/>
    <n v="20"/>
    <x v="0"/>
    <m/>
    <m/>
    <m/>
    <n v="2000"/>
    <x v="0"/>
  </r>
  <r>
    <n v="4"/>
    <x v="1"/>
    <x v="3"/>
    <m/>
    <s v="BOLETO"/>
    <x v="1"/>
    <n v="2600"/>
    <n v="20"/>
    <x v="0"/>
    <m/>
    <m/>
    <m/>
    <n v="2000"/>
    <x v="2"/>
  </r>
  <r>
    <n v="1"/>
    <x v="0"/>
    <x v="0"/>
    <m/>
    <s v="NF/BOLETO"/>
    <x v="0"/>
    <n v="220"/>
    <n v="16"/>
    <x v="1"/>
    <m/>
    <m/>
    <m/>
    <n v="200"/>
    <x v="3"/>
  </r>
  <r>
    <n v="2"/>
    <x v="0"/>
    <x v="1"/>
    <m/>
    <s v="BOLETO"/>
    <x v="0"/>
    <n v="160"/>
    <n v="15"/>
    <x v="1"/>
    <m/>
    <m/>
    <m/>
    <n v="150"/>
    <x v="4"/>
  </r>
  <r>
    <n v="3"/>
    <x v="1"/>
    <x v="2"/>
    <m/>
    <s v="BOLETO"/>
    <x v="0"/>
    <n v="2100"/>
    <n v="20"/>
    <x v="1"/>
    <m/>
    <m/>
    <m/>
    <n v="2000"/>
    <x v="5"/>
  </r>
  <r>
    <n v="4"/>
    <x v="1"/>
    <x v="3"/>
    <m/>
    <s v="BOLETO"/>
    <x v="1"/>
    <n v="2500"/>
    <n v="20"/>
    <x v="1"/>
    <m/>
    <m/>
    <m/>
    <n v="2000"/>
    <x v="0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s v=""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2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s v=""/>
    <x v="2"/>
    <x v="4"/>
    <m/>
    <m/>
    <x v="3"/>
    <m/>
    <s v=""/>
    <x v="2"/>
    <m/>
    <m/>
    <m/>
    <s v=""/>
    <x v="6"/>
  </r>
  <r>
    <m/>
    <x v="2"/>
    <x v="4"/>
    <m/>
    <m/>
    <x v="3"/>
    <m/>
    <s v=""/>
    <x v="2"/>
    <m/>
    <m/>
    <m/>
    <s v=""/>
    <x v="7"/>
  </r>
  <r>
    <m/>
    <x v="2"/>
    <x v="4"/>
    <m/>
    <m/>
    <x v="3"/>
    <m/>
    <s v=""/>
    <x v="2"/>
    <m/>
    <m/>
    <m/>
    <s v=""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  <r>
    <m/>
    <x v="2"/>
    <x v="4"/>
    <m/>
    <m/>
    <x v="3"/>
    <m/>
    <m/>
    <x v="2"/>
    <m/>
    <m/>
    <m/>
    <m/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J16" firstHeaderRow="1" firstDataRow="3" firstDataCol="1" rowPageCount="1" colPageCount="1"/>
  <pivotFields count="14">
    <pivotField subtotalTop="0" showAll="0" insertBlankRow="1"/>
    <pivotField axis="axisRow" subtotalTop="0" showAll="0" insertBlankRow="1">
      <items count="4">
        <item x="0"/>
        <item x="1"/>
        <item h="1" x="2"/>
        <item t="default"/>
      </items>
    </pivotField>
    <pivotField axis="axisRow" subtotalTop="0" showAll="0" insertBlankRow="1">
      <items count="6">
        <item x="1"/>
        <item x="0"/>
        <item x="2"/>
        <item x="3"/>
        <item x="4"/>
        <item t="default"/>
      </items>
    </pivotField>
    <pivotField subtotalTop="0" showAll="0" insertBlankRow="1"/>
    <pivotField subtotalTop="0" showAll="0" insertBlankRow="1"/>
    <pivotField axis="axisPage" subtotalTop="0" multipleItemSelectionAllowed="1" showAll="0" insertBlankRow="1">
      <items count="5">
        <item h="1" x="2"/>
        <item x="0"/>
        <item x="1"/>
        <item h="1" x="3"/>
        <item t="default"/>
      </items>
    </pivotField>
    <pivotField dataField="1" subtotalTop="0" showAll="0" insertBlankRow="1"/>
    <pivotField subtotalTop="0" showAll="0" insertBlankRow="1"/>
    <pivotField axis="axisCol" subtotalTop="0" showAll="0" insertBlankRow="1">
      <items count="4">
        <item x="0"/>
        <item x="2"/>
        <item x="1"/>
        <item t="default"/>
      </items>
    </pivotField>
    <pivotField subtotalTop="0" showAll="0" insertBlankRow="1"/>
    <pivotField subtotalTop="0" showAll="0" insertBlankRow="1"/>
    <pivotField subtotalTop="0" showAll="0" insertBlankRow="1"/>
    <pivotField dataField="1" subtotalTop="0" showAll="0" insertBlankRow="1"/>
    <pivotField dataField="1" subtotalTop="0" showAll="0" insertBlankRow="1">
      <items count="9">
        <item x="5"/>
        <item x="4"/>
        <item x="3"/>
        <item x="0"/>
        <item x="2"/>
        <item x="1"/>
        <item x="6"/>
        <item x="7"/>
        <item t="default"/>
      </items>
    </pivotField>
  </pivotFields>
  <rowFields count="2">
    <field x="1"/>
    <field x="2"/>
  </rowFields>
  <rowItems count="11">
    <i>
      <x/>
    </i>
    <i r="1">
      <x/>
    </i>
    <i r="1">
      <x v="1"/>
    </i>
    <i t="default">
      <x/>
    </i>
    <i t="blank">
      <x/>
    </i>
    <i>
      <x v="1"/>
    </i>
    <i r="1">
      <x v="2"/>
    </i>
    <i r="1">
      <x v="3"/>
    </i>
    <i t="default">
      <x v="1"/>
    </i>
    <i t="blank">
      <x v="1"/>
    </i>
    <i t="grand">
      <x/>
    </i>
  </rowItems>
  <colFields count="2">
    <field x="8"/>
    <field x="-2"/>
  </colFields>
  <colItems count="9">
    <i>
      <x/>
      <x/>
    </i>
    <i r="1" i="1">
      <x v="1"/>
    </i>
    <i r="1" i="2">
      <x v="2"/>
    </i>
    <i>
      <x v="2"/>
      <x/>
    </i>
    <i r="1" i="1">
      <x v="1"/>
    </i>
    <i r="1" i="2">
      <x v="2"/>
    </i>
    <i t="grand">
      <x/>
    </i>
    <i t="grand" i="1">
      <x/>
    </i>
    <i t="grand" i="2">
      <x/>
    </i>
  </colItems>
  <pageFields count="1">
    <pageField fld="5" hier="-1"/>
  </pageFields>
  <dataFields count="3">
    <dataField name="Soma de Valor" fld="6" baseField="1" baseItem="1" numFmtId="171"/>
    <dataField name="Soma de Orçamento" fld="12" baseField="2" baseItem="1" numFmtId="171"/>
    <dataField name="Média de Variação" fld="13" subtotal="average" baseField="2" baseItem="3" numFmtId="10"/>
  </dataFields>
  <formats count="23">
    <format dxfId="22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>
            <x v="1"/>
          </reference>
          <reference field="8" count="1" selected="0">
            <x v="0"/>
          </reference>
        </references>
      </pivotArea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type="origin" dataOnly="0" labelOnly="1" outline="0" fieldPosition="0"/>
    </format>
    <format dxfId="18">
      <pivotArea field="8" type="button" dataOnly="0" labelOnly="1" outline="0" axis="axisCol" fieldPosition="0"/>
    </format>
    <format dxfId="17">
      <pivotArea field="-2" type="button" dataOnly="0" labelOnly="1" outline="0" axis="axisCol" fieldPosition="1"/>
    </format>
    <format dxfId="16">
      <pivotArea type="topRight" dataOnly="0" labelOnly="1" outline="0" fieldPosition="0"/>
    </format>
    <format dxfId="15">
      <pivotArea field="1" type="button" dataOnly="0" labelOnly="1" outline="0" axis="axisRow" fieldPosition="0"/>
    </format>
    <format dxfId="14">
      <pivotArea dataOnly="0" labelOnly="1" fieldPosition="0">
        <references count="1">
          <reference field="1" count="0"/>
        </references>
      </pivotArea>
    </format>
    <format dxfId="13">
      <pivotArea dataOnly="0" labelOnly="1" fieldPosition="0">
        <references count="1">
          <reference field="1" count="0" defaultSubtotal="1"/>
        </references>
      </pivotArea>
    </format>
    <format dxfId="12">
      <pivotArea dataOnly="0" labelOnly="1" grandRow="1" outline="0" fieldPosition="0"/>
    </format>
    <format dxfId="11">
      <pivotArea dataOnly="0" labelOnly="1" fieldPosition="0">
        <references count="2">
          <reference field="1" count="1" selected="0">
            <x v="0"/>
          </reference>
          <reference field="2" count="2">
            <x v="0"/>
            <x v="1"/>
          </reference>
        </references>
      </pivotArea>
    </format>
    <format dxfId="10">
      <pivotArea dataOnly="0" labelOnly="1" fieldPosition="0">
        <references count="2">
          <reference field="1" count="1" selected="0">
            <x v="1"/>
          </reference>
          <reference field="2" count="2">
            <x v="2"/>
            <x v="3"/>
          </reference>
        </references>
      </pivotArea>
    </format>
    <format dxfId="9">
      <pivotArea dataOnly="0" labelOnly="1" fieldPosition="0">
        <references count="1">
          <reference field="8" count="2">
            <x v="0"/>
            <x v="2"/>
          </reference>
        </references>
      </pivotArea>
    </format>
    <format dxfId="8">
      <pivotArea field="8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7">
      <pivotArea field="8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6">
      <pivotArea field="8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">
      <pivotArea field="8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4">
      <pivotArea dataOnly="0" labelOnly="1" outline="0" fieldPosition="0">
        <references count="2">
          <reference field="4294967294" count="2">
            <x v="0"/>
            <x v="1"/>
          </reference>
          <reference field="8" count="1" selected="0">
            <x v="0"/>
          </reference>
        </references>
      </pivotArea>
    </format>
    <format dxfId="3">
      <pivotArea dataOnly="0" labelOnly="1" outline="0" fieldPosition="0">
        <references count="2">
          <reference field="4294967294" count="2">
            <x v="0"/>
            <x v="1"/>
          </reference>
          <reference field="8" count="1" selected="0">
            <x v="2"/>
          </reference>
        </references>
      </pivotArea>
    </format>
    <format dxfId="2">
      <pivotArea outline="0" fieldPosition="0">
        <references count="1">
          <reference field="4294967294" count="1">
            <x v="2"/>
          </reference>
        </references>
      </pivotArea>
    </format>
    <format dxfId="1">
      <pivotArea outline="0" fieldPosition="0">
        <references count="1">
          <reference field="4294967294" count="1">
            <x v="0"/>
          </reference>
        </references>
      </pivotArea>
    </format>
    <format dxfId="0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workbookViewId="0">
      <selection activeCell="O19" sqref="O1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J16"/>
  <sheetViews>
    <sheetView workbookViewId="0">
      <selection activeCell="E25" sqref="E25"/>
    </sheetView>
  </sheetViews>
  <sheetFormatPr defaultRowHeight="15" x14ac:dyDescent="0.25"/>
  <cols>
    <col min="1" max="1" width="18" customWidth="1"/>
    <col min="2" max="2" width="19.5703125" bestFit="1" customWidth="1"/>
    <col min="3" max="3" width="19.140625" customWidth="1"/>
    <col min="4" max="4" width="17.7109375" customWidth="1"/>
    <col min="5" max="5" width="13.85546875" customWidth="1"/>
    <col min="6" max="6" width="19.140625" customWidth="1"/>
    <col min="7" max="7" width="17.7109375" customWidth="1"/>
    <col min="8" max="8" width="18.85546875" customWidth="1"/>
    <col min="9" max="9" width="24.140625" customWidth="1"/>
    <col min="10" max="10" width="22.7109375" customWidth="1"/>
    <col min="11" max="11" width="7" customWidth="1"/>
    <col min="12" max="12" width="12" bestFit="1" customWidth="1"/>
    <col min="13" max="13" width="5" customWidth="1"/>
    <col min="14" max="14" width="19.140625" bestFit="1" customWidth="1"/>
    <col min="15" max="15" width="7" customWidth="1"/>
    <col min="16" max="16" width="12" bestFit="1" customWidth="1"/>
    <col min="17" max="17" width="5" customWidth="1"/>
    <col min="18" max="18" width="18.7109375" bestFit="1" customWidth="1"/>
    <col min="19" max="19" width="24" bestFit="1" customWidth="1"/>
    <col min="20" max="20" width="18.85546875" bestFit="1" customWidth="1"/>
    <col min="21" max="21" width="24.140625" bestFit="1" customWidth="1"/>
  </cols>
  <sheetData>
    <row r="1" spans="1:10" x14ac:dyDescent="0.25">
      <c r="A1" s="123" t="s">
        <v>5</v>
      </c>
      <c r="B1" s="4" t="s">
        <v>133</v>
      </c>
    </row>
    <row r="3" spans="1:10" x14ac:dyDescent="0.25">
      <c r="A3" s="4"/>
      <c r="B3" s="123" t="s">
        <v>3</v>
      </c>
      <c r="C3" s="4"/>
      <c r="D3" s="4"/>
      <c r="E3" s="4"/>
      <c r="F3" s="4"/>
      <c r="G3" s="4"/>
      <c r="H3" s="4"/>
      <c r="I3" s="4"/>
      <c r="J3" s="4"/>
    </row>
    <row r="4" spans="1:10" x14ac:dyDescent="0.25">
      <c r="A4" s="4"/>
      <c r="B4" s="4" t="s">
        <v>25</v>
      </c>
      <c r="C4" s="4"/>
      <c r="D4" s="4"/>
      <c r="E4" s="4" t="s">
        <v>26</v>
      </c>
      <c r="F4" s="4"/>
      <c r="G4" s="4"/>
      <c r="H4" s="4" t="s">
        <v>113</v>
      </c>
      <c r="I4" s="4" t="s">
        <v>114</v>
      </c>
      <c r="J4" s="4" t="s">
        <v>117</v>
      </c>
    </row>
    <row r="5" spans="1:10" x14ac:dyDescent="0.25">
      <c r="A5" s="123" t="s">
        <v>1</v>
      </c>
      <c r="B5" s="4" t="s">
        <v>16</v>
      </c>
      <c r="C5" s="4" t="s">
        <v>115</v>
      </c>
      <c r="D5" s="4" t="s">
        <v>118</v>
      </c>
      <c r="E5" s="4" t="s">
        <v>16</v>
      </c>
      <c r="F5" s="4" t="s">
        <v>115</v>
      </c>
      <c r="G5" s="4" t="s">
        <v>118</v>
      </c>
      <c r="H5" s="4"/>
      <c r="I5" s="4"/>
      <c r="J5" s="4"/>
    </row>
    <row r="6" spans="1:10" x14ac:dyDescent="0.25">
      <c r="A6" s="142" t="s">
        <v>120</v>
      </c>
      <c r="B6" s="125"/>
      <c r="C6" s="125"/>
      <c r="D6" s="124"/>
      <c r="E6" s="125"/>
      <c r="F6" s="125"/>
      <c r="G6" s="124"/>
      <c r="H6" s="125"/>
      <c r="I6" s="125"/>
      <c r="J6" s="124"/>
    </row>
    <row r="7" spans="1:10" x14ac:dyDescent="0.25">
      <c r="A7" s="143" t="s">
        <v>122</v>
      </c>
      <c r="B7" s="125">
        <v>200</v>
      </c>
      <c r="C7" s="125">
        <v>150</v>
      </c>
      <c r="D7" s="124">
        <v>0.25</v>
      </c>
      <c r="E7" s="125">
        <v>160</v>
      </c>
      <c r="F7" s="125">
        <v>150</v>
      </c>
      <c r="G7" s="124">
        <v>6.25E-2</v>
      </c>
      <c r="H7" s="125">
        <v>360</v>
      </c>
      <c r="I7" s="125">
        <v>300</v>
      </c>
      <c r="J7" s="124">
        <v>0.15625</v>
      </c>
    </row>
    <row r="8" spans="1:10" x14ac:dyDescent="0.25">
      <c r="A8" s="143" t="s">
        <v>123</v>
      </c>
      <c r="B8" s="125">
        <v>250</v>
      </c>
      <c r="C8" s="125">
        <v>200</v>
      </c>
      <c r="D8" s="124">
        <v>0.2</v>
      </c>
      <c r="E8" s="125">
        <v>220</v>
      </c>
      <c r="F8" s="125">
        <v>200</v>
      </c>
      <c r="G8" s="124">
        <v>9.0909090909090912E-2</v>
      </c>
      <c r="H8" s="125">
        <v>470</v>
      </c>
      <c r="I8" s="125">
        <v>400</v>
      </c>
      <c r="J8" s="124">
        <v>0.14545454545454545</v>
      </c>
    </row>
    <row r="9" spans="1:10" x14ac:dyDescent="0.25">
      <c r="A9" s="142" t="s">
        <v>131</v>
      </c>
      <c r="B9" s="125">
        <v>450</v>
      </c>
      <c r="C9" s="125">
        <v>350</v>
      </c>
      <c r="D9" s="124">
        <v>0.22500000000000001</v>
      </c>
      <c r="E9" s="125">
        <v>380</v>
      </c>
      <c r="F9" s="125">
        <v>350</v>
      </c>
      <c r="G9" s="124">
        <v>7.6704545454545456E-2</v>
      </c>
      <c r="H9" s="125">
        <v>830</v>
      </c>
      <c r="I9" s="125">
        <v>700</v>
      </c>
      <c r="J9" s="124">
        <v>0.15085227272727272</v>
      </c>
    </row>
    <row r="10" spans="1:10" x14ac:dyDescent="0.25">
      <c r="A10" s="142"/>
      <c r="B10" s="125"/>
      <c r="C10" s="125"/>
      <c r="D10" s="124"/>
      <c r="E10" s="125"/>
      <c r="F10" s="125"/>
      <c r="G10" s="124"/>
      <c r="H10" s="125"/>
      <c r="I10" s="125"/>
      <c r="J10" s="124"/>
    </row>
    <row r="11" spans="1:10" x14ac:dyDescent="0.25">
      <c r="A11" s="142" t="s">
        <v>125</v>
      </c>
      <c r="B11" s="125"/>
      <c r="C11" s="125"/>
      <c r="D11" s="124"/>
      <c r="E11" s="125"/>
      <c r="F11" s="125"/>
      <c r="G11" s="124"/>
      <c r="H11" s="125"/>
      <c r="I11" s="125"/>
      <c r="J11" s="124"/>
    </row>
    <row r="12" spans="1:10" x14ac:dyDescent="0.25">
      <c r="A12" s="143" t="s">
        <v>127</v>
      </c>
      <c r="B12" s="125">
        <v>2500</v>
      </c>
      <c r="C12" s="125">
        <v>2000</v>
      </c>
      <c r="D12" s="124">
        <v>0.2</v>
      </c>
      <c r="E12" s="125">
        <v>2100</v>
      </c>
      <c r="F12" s="125">
        <v>2000</v>
      </c>
      <c r="G12" s="124">
        <v>4.7619047619047616E-2</v>
      </c>
      <c r="H12" s="125">
        <v>4600</v>
      </c>
      <c r="I12" s="125">
        <v>4000</v>
      </c>
      <c r="J12" s="124">
        <v>0.12380952380952381</v>
      </c>
    </row>
    <row r="13" spans="1:10" x14ac:dyDescent="0.25">
      <c r="A13" s="143" t="s">
        <v>128</v>
      </c>
      <c r="B13" s="125">
        <v>2600</v>
      </c>
      <c r="C13" s="125">
        <v>2000</v>
      </c>
      <c r="D13" s="124">
        <v>0.23076923076923078</v>
      </c>
      <c r="E13" s="125">
        <v>2500</v>
      </c>
      <c r="F13" s="125">
        <v>2000</v>
      </c>
      <c r="G13" s="124">
        <v>0.2</v>
      </c>
      <c r="H13" s="125">
        <v>5100</v>
      </c>
      <c r="I13" s="125">
        <v>4000</v>
      </c>
      <c r="J13" s="124">
        <v>0.2153846153846154</v>
      </c>
    </row>
    <row r="14" spans="1:10" x14ac:dyDescent="0.25">
      <c r="A14" s="142" t="s">
        <v>132</v>
      </c>
      <c r="B14" s="125">
        <v>5100</v>
      </c>
      <c r="C14" s="125">
        <v>4000</v>
      </c>
      <c r="D14" s="124">
        <v>0.2153846153846154</v>
      </c>
      <c r="E14" s="125">
        <v>4600</v>
      </c>
      <c r="F14" s="125">
        <v>4000</v>
      </c>
      <c r="G14" s="124">
        <v>0.12380952380952381</v>
      </c>
      <c r="H14" s="125">
        <v>9700</v>
      </c>
      <c r="I14" s="125">
        <v>8000</v>
      </c>
      <c r="J14" s="124">
        <v>0.16959706959706961</v>
      </c>
    </row>
    <row r="15" spans="1:10" x14ac:dyDescent="0.25">
      <c r="A15" s="142"/>
      <c r="B15" s="125"/>
      <c r="C15" s="125"/>
      <c r="D15" s="124"/>
      <c r="E15" s="125"/>
      <c r="F15" s="125"/>
      <c r="G15" s="124"/>
      <c r="H15" s="125"/>
      <c r="I15" s="125"/>
      <c r="J15" s="124"/>
    </row>
    <row r="16" spans="1:10" x14ac:dyDescent="0.25">
      <c r="A16" s="142" t="s">
        <v>2</v>
      </c>
      <c r="B16" s="125">
        <v>5550</v>
      </c>
      <c r="C16" s="125">
        <v>4350</v>
      </c>
      <c r="D16" s="124">
        <v>0.22019230769230769</v>
      </c>
      <c r="E16" s="125">
        <v>4980</v>
      </c>
      <c r="F16" s="125">
        <v>4350</v>
      </c>
      <c r="G16" s="124">
        <v>0.10025703463203464</v>
      </c>
      <c r="H16" s="125">
        <v>10530</v>
      </c>
      <c r="I16" s="125">
        <v>8700</v>
      </c>
      <c r="J16" s="124">
        <v>0.16022467116217115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"/>
  <dimension ref="A1:AK377"/>
  <sheetViews>
    <sheetView showGridLines="0" tabSelected="1" zoomScale="77" zoomScaleNormal="77" workbookViewId="0">
      <selection activeCell="J2" sqref="J2"/>
    </sheetView>
  </sheetViews>
  <sheetFormatPr defaultRowHeight="15" x14ac:dyDescent="0.25"/>
  <cols>
    <col min="1" max="1" width="9.28515625" style="1" customWidth="1"/>
    <col min="2" max="2" width="17.5703125" style="1" customWidth="1"/>
    <col min="3" max="3" width="19.28515625" style="1" customWidth="1"/>
    <col min="4" max="4" width="15.7109375" style="1" customWidth="1"/>
    <col min="5" max="5" width="20" style="1" bestFit="1" customWidth="1"/>
    <col min="6" max="6" width="16.85546875" style="1" customWidth="1"/>
    <col min="7" max="7" width="19.140625" style="134" customWidth="1"/>
    <col min="8" max="8" width="14.5703125" style="135" customWidth="1"/>
    <col min="9" max="9" width="17.7109375" style="1" customWidth="1"/>
    <col min="10" max="10" width="13.28515625" style="1" bestFit="1" customWidth="1"/>
    <col min="11" max="11" width="13.7109375" style="1" customWidth="1"/>
    <col min="12" max="12" width="15.85546875" style="1" customWidth="1"/>
    <col min="13" max="13" width="19.85546875" style="134" customWidth="1"/>
    <col min="14" max="14" width="20.85546875" style="136" customWidth="1"/>
    <col min="15" max="15" width="13.140625" customWidth="1"/>
    <col min="28" max="28" width="0" hidden="1" customWidth="1"/>
  </cols>
  <sheetData>
    <row r="1" spans="1:37" x14ac:dyDescent="0.25">
      <c r="A1" s="129" t="s">
        <v>17</v>
      </c>
      <c r="B1" s="129" t="s">
        <v>22</v>
      </c>
      <c r="C1" s="129" t="s">
        <v>23</v>
      </c>
      <c r="D1" s="129" t="s">
        <v>20</v>
      </c>
      <c r="E1" s="129" t="s">
        <v>106</v>
      </c>
      <c r="F1" s="129" t="s">
        <v>5</v>
      </c>
      <c r="G1" s="130" t="s">
        <v>6</v>
      </c>
      <c r="H1" s="131" t="s">
        <v>7</v>
      </c>
      <c r="I1" s="129" t="s">
        <v>8</v>
      </c>
      <c r="J1" s="129" t="s">
        <v>18</v>
      </c>
      <c r="K1" s="129" t="s">
        <v>15</v>
      </c>
      <c r="L1" s="132" t="s">
        <v>46</v>
      </c>
      <c r="M1" s="130" t="s">
        <v>112</v>
      </c>
      <c r="N1" s="133" t="s">
        <v>116</v>
      </c>
    </row>
    <row r="2" spans="1:37" x14ac:dyDescent="0.25">
      <c r="A2" s="144">
        <f>IF(I2="","",IF(I2=I1,A1+1,1))</f>
        <v>1</v>
      </c>
      <c r="B2" s="144" t="s">
        <v>120</v>
      </c>
      <c r="C2" s="144" t="s">
        <v>123</v>
      </c>
      <c r="D2" s="144"/>
      <c r="E2" s="144" t="str">
        <f>IFERROR(VLOOKUP(B2&amp;C2,'Banco de Dados'!$I:$L,4,FALSE),"")</f>
        <v>NF/BOLETO</v>
      </c>
      <c r="F2" s="144" t="str">
        <f>IFERROR(VLOOKUP(B2&amp;C2,'Banco de Dados'!$I:$L,3,FALSE),"")</f>
        <v>FIXO</v>
      </c>
      <c r="G2" s="145">
        <v>250</v>
      </c>
      <c r="H2" s="146">
        <f ca="1">IFERROR(DATE(YEAR(NOW()),VLOOKUP(I2,'Banco de Dados'!V:W,2,FALSE),VLOOKUP(B2&amp;C2,'Banco de Dados'!$I:$M,5,FALSE)),"")</f>
        <v>42457</v>
      </c>
      <c r="I2" s="144" t="s">
        <v>25</v>
      </c>
      <c r="J2" s="144" t="s">
        <v>130</v>
      </c>
      <c r="K2" s="144"/>
      <c r="L2" s="144"/>
      <c r="M2" s="145">
        <f>IFERROR(VLOOKUP(B2&amp;C2,'Banco de Dados'!$I:$N,6,FALSE),"")</f>
        <v>200</v>
      </c>
      <c r="N2" s="147">
        <f>IFERROR((G2-M2)/ABS(G2),"")</f>
        <v>0.2</v>
      </c>
      <c r="O2" s="121"/>
      <c r="P2" s="121"/>
      <c r="Q2" s="1"/>
      <c r="R2" s="1"/>
      <c r="S2" s="1"/>
      <c r="T2" s="1"/>
      <c r="U2" s="1"/>
      <c r="V2" s="1"/>
      <c r="W2" s="150"/>
      <c r="X2" s="150"/>
      <c r="Y2" s="150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x14ac:dyDescent="0.25">
      <c r="A3" s="137">
        <f>IF(I3="","",IF(I3=I2,A2+1,1))</f>
        <v>2</v>
      </c>
      <c r="B3" s="137" t="s">
        <v>120</v>
      </c>
      <c r="C3" s="137" t="s">
        <v>122</v>
      </c>
      <c r="D3" s="137"/>
      <c r="E3" s="137" t="str">
        <f>IFERROR(VLOOKUP(B3&amp;C3,'Banco de Dados'!$I:$L,4,FALSE),"")</f>
        <v>BOLETO</v>
      </c>
      <c r="F3" s="137" t="str">
        <f>IFERROR(VLOOKUP(B3&amp;C3,'Banco de Dados'!$I:$L,3,FALSE),"")</f>
        <v>FIXO</v>
      </c>
      <c r="G3" s="138">
        <v>200</v>
      </c>
      <c r="H3" s="139">
        <f ca="1">IFERROR(DATE(YEAR(NOW()),VLOOKUP(I3,'Banco de Dados'!V:W,2,FALSE),VLOOKUP(B3&amp;C3,'Banco de Dados'!$I:$M,5,FALSE)),"")</f>
        <v>42457</v>
      </c>
      <c r="I3" s="137" t="s">
        <v>25</v>
      </c>
      <c r="J3" s="137"/>
      <c r="K3" s="127"/>
      <c r="L3" s="127"/>
      <c r="M3" s="128">
        <f>IFERROR(VLOOKUP(B3&amp;C3,'Banco de Dados'!$I:$N,6,FALSE),"")</f>
        <v>150</v>
      </c>
      <c r="N3" s="126">
        <f>IFERROR((G3-M3)/ABS(G3),"")</f>
        <v>0.25</v>
      </c>
      <c r="O3" s="2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</row>
    <row r="4" spans="1:37" x14ac:dyDescent="0.25">
      <c r="A4" s="137">
        <f t="shared" ref="A4:A67" si="0">IF(I4="","",IF(I4=I3,A3+1,1))</f>
        <v>3</v>
      </c>
      <c r="B4" s="127" t="s">
        <v>125</v>
      </c>
      <c r="C4" s="127" t="s">
        <v>127</v>
      </c>
      <c r="D4" s="127"/>
      <c r="E4" s="137" t="str">
        <f>IFERROR(VLOOKUP(B4&amp;C4,'Banco de Dados'!$I:$L,4,FALSE),"")</f>
        <v>BOLETO</v>
      </c>
      <c r="F4" s="137" t="str">
        <f>IFERROR(VLOOKUP(B4&amp;C4,'Banco de Dados'!$I:$L,3,FALSE),"")</f>
        <v>FIXO</v>
      </c>
      <c r="G4" s="128">
        <v>2500</v>
      </c>
      <c r="H4" s="139">
        <f ca="1">IFERROR(DATE(YEAR(NOW()),VLOOKUP(I4,'Banco de Dados'!V:W,2,FALSE),VLOOKUP(B4&amp;C4,'Banco de Dados'!$I:$M,5,FALSE)),"")</f>
        <v>42449</v>
      </c>
      <c r="I4" s="127" t="s">
        <v>25</v>
      </c>
      <c r="J4" s="127"/>
      <c r="K4" s="127"/>
      <c r="L4" s="140"/>
      <c r="M4" s="128">
        <f>IFERROR(VLOOKUP(B4&amp;C4,'Banco de Dados'!$I:$N,6,FALSE),"")</f>
        <v>2000</v>
      </c>
      <c r="N4" s="141">
        <f>IFERROR((G4-M4)/ABS(G4),"")</f>
        <v>0.2</v>
      </c>
      <c r="O4" s="122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x14ac:dyDescent="0.25">
      <c r="A5" s="137">
        <f t="shared" si="0"/>
        <v>4</v>
      </c>
      <c r="B5" s="127" t="s">
        <v>125</v>
      </c>
      <c r="C5" s="127" t="s">
        <v>128</v>
      </c>
      <c r="D5" s="127"/>
      <c r="E5" s="137" t="str">
        <f>IFERROR(VLOOKUP(B5&amp;C5,'Banco de Dados'!$I:$L,4,FALSE),"")</f>
        <v>BOLETO</v>
      </c>
      <c r="F5" s="137" t="str">
        <f>IFERROR(VLOOKUP(B5&amp;C5,'Banco de Dados'!$I:$L,3,FALSE),"")</f>
        <v>VARIÁVEL</v>
      </c>
      <c r="G5" s="128">
        <v>2600</v>
      </c>
      <c r="H5" s="139">
        <f ca="1">IFERROR(DATE(YEAR(NOW()),VLOOKUP(I5,'Banco de Dados'!V:W,2,FALSE),VLOOKUP(B5&amp;C5,'Banco de Dados'!$I:$M,5,FALSE)),"")</f>
        <v>42449</v>
      </c>
      <c r="I5" s="127" t="s">
        <v>25</v>
      </c>
      <c r="J5" s="127"/>
      <c r="K5" s="127"/>
      <c r="L5" s="127"/>
      <c r="M5" s="128">
        <f>IFERROR(VLOOKUP(B5&amp;C5,'Banco de Dados'!$I:$N,6,FALSE),"")</f>
        <v>2000</v>
      </c>
      <c r="N5" s="141">
        <f t="shared" ref="N5:N68" si="1">IFERROR((G5-M5)/ABS(G5),"")</f>
        <v>0.23076923076923078</v>
      </c>
      <c r="O5" s="2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</row>
    <row r="6" spans="1:37" x14ac:dyDescent="0.25">
      <c r="A6" s="137">
        <f t="shared" si="0"/>
        <v>1</v>
      </c>
      <c r="B6" s="137" t="s">
        <v>120</v>
      </c>
      <c r="C6" s="137" t="s">
        <v>123</v>
      </c>
      <c r="D6" s="137"/>
      <c r="E6" s="137" t="str">
        <f>IFERROR(VLOOKUP(B6&amp;C6,'Banco de Dados'!$I:$L,4,FALSE),"")</f>
        <v>NF/BOLETO</v>
      </c>
      <c r="F6" s="137" t="str">
        <f>IFERROR(VLOOKUP(B6&amp;C6,'Banco de Dados'!$I:$L,3,FALSE),"")</f>
        <v>FIXO</v>
      </c>
      <c r="G6" s="138">
        <v>220</v>
      </c>
      <c r="H6" s="139">
        <f ca="1">IFERROR(DATE(YEAR(NOW()),VLOOKUP(I6,'Banco de Dados'!V:W,2,FALSE),VLOOKUP(B6&amp;C6,'Banco de Dados'!$I:$M,5,FALSE)),"")</f>
        <v>42488</v>
      </c>
      <c r="I6" s="137" t="s">
        <v>26</v>
      </c>
      <c r="J6" s="137" t="s">
        <v>129</v>
      </c>
      <c r="K6" s="137"/>
      <c r="L6" s="137"/>
      <c r="M6" s="138">
        <f>IFERROR(VLOOKUP(B6&amp;C6,'Banco de Dados'!$I:$N,6,FALSE),"")</f>
        <v>200</v>
      </c>
      <c r="N6" s="148">
        <f t="shared" si="1"/>
        <v>9.0909090909090912E-2</v>
      </c>
      <c r="O6" s="2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</row>
    <row r="7" spans="1:37" x14ac:dyDescent="0.25">
      <c r="A7" s="137">
        <f t="shared" si="0"/>
        <v>2</v>
      </c>
      <c r="B7" s="137" t="s">
        <v>120</v>
      </c>
      <c r="C7" s="137" t="s">
        <v>122</v>
      </c>
      <c r="D7" s="4"/>
      <c r="E7" s="137" t="str">
        <f>IFERROR(VLOOKUP(B7&amp;C7,'Banco de Dados'!$I:$L,4,FALSE),"")</f>
        <v>BOLETO</v>
      </c>
      <c r="F7" s="137" t="str">
        <f>IFERROR(VLOOKUP(B7&amp;C7,'Banco de Dados'!$I:$L,3,FALSE),"")</f>
        <v>FIXO</v>
      </c>
      <c r="G7" s="125">
        <v>160</v>
      </c>
      <c r="H7" s="139">
        <f ca="1">IFERROR(DATE(YEAR(NOW()),VLOOKUP(I7,'Banco de Dados'!V:W,2,FALSE),VLOOKUP(B7&amp;C7,'Banco de Dados'!$I:$M,5,FALSE)),"")</f>
        <v>42488</v>
      </c>
      <c r="I7" s="4" t="s">
        <v>26</v>
      </c>
      <c r="J7" s="4"/>
      <c r="K7" s="4"/>
      <c r="L7" s="4"/>
      <c r="M7" s="128">
        <f>IFERROR(VLOOKUP(B7&amp;C7,'Banco de Dados'!$I:$N,6,FALSE),"")</f>
        <v>150</v>
      </c>
      <c r="N7" s="141">
        <f t="shared" si="1"/>
        <v>6.25E-2</v>
      </c>
      <c r="O7" s="2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 t="s">
        <v>51</v>
      </c>
      <c r="AC7" s="1"/>
      <c r="AD7" s="149"/>
      <c r="AE7" s="149"/>
      <c r="AF7" s="149"/>
      <c r="AG7" s="149"/>
      <c r="AH7" s="1"/>
      <c r="AI7" s="1"/>
      <c r="AJ7" s="1"/>
      <c r="AK7" s="1"/>
    </row>
    <row r="8" spans="1:37" x14ac:dyDescent="0.25">
      <c r="A8" s="137">
        <f t="shared" si="0"/>
        <v>3</v>
      </c>
      <c r="B8" s="127" t="s">
        <v>125</v>
      </c>
      <c r="C8" s="127" t="s">
        <v>127</v>
      </c>
      <c r="D8" s="4"/>
      <c r="E8" s="137" t="str">
        <f>IFERROR(VLOOKUP(B8&amp;C8,'Banco de Dados'!$I:$L,4,FALSE),"")</f>
        <v>BOLETO</v>
      </c>
      <c r="F8" s="137" t="str">
        <f>IFERROR(VLOOKUP(B8&amp;C8,'Banco de Dados'!$I:$L,3,FALSE),"")</f>
        <v>FIXO</v>
      </c>
      <c r="G8" s="125">
        <v>2100</v>
      </c>
      <c r="H8" s="139">
        <f ca="1">IFERROR(DATE(YEAR(NOW()),VLOOKUP(I8,'Banco de Dados'!V:W,2,FALSE),VLOOKUP(B8&amp;C8,'Banco de Dados'!$I:$M,5,FALSE)),"")</f>
        <v>42480</v>
      </c>
      <c r="I8" s="4" t="s">
        <v>26</v>
      </c>
      <c r="J8" s="4"/>
      <c r="K8" s="4"/>
      <c r="L8" s="4"/>
      <c r="M8" s="128">
        <f>IFERROR(VLOOKUP(B8&amp;C8,'Banco de Dados'!$I:$N,6,FALSE),"")</f>
        <v>2000</v>
      </c>
      <c r="N8" s="141">
        <f t="shared" si="1"/>
        <v>4.7619047619047616E-2</v>
      </c>
      <c r="O8" s="2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x14ac:dyDescent="0.25">
      <c r="A9" s="137">
        <f t="shared" si="0"/>
        <v>4</v>
      </c>
      <c r="B9" s="127" t="s">
        <v>125</v>
      </c>
      <c r="C9" s="127" t="s">
        <v>128</v>
      </c>
      <c r="D9" s="4"/>
      <c r="E9" s="137" t="str">
        <f>IFERROR(VLOOKUP(B9&amp;C9,'Banco de Dados'!$I:$L,4,FALSE),"")</f>
        <v>BOLETO</v>
      </c>
      <c r="F9" s="137" t="str">
        <f>IFERROR(VLOOKUP(B9&amp;C9,'Banco de Dados'!$I:$L,3,FALSE),"")</f>
        <v>VARIÁVEL</v>
      </c>
      <c r="G9" s="125">
        <v>2500</v>
      </c>
      <c r="H9" s="139">
        <f ca="1">IFERROR(DATE(YEAR(NOW()),VLOOKUP(I9,'Banco de Dados'!V:W,2,FALSE),VLOOKUP(B9&amp;C9,'Banco de Dados'!$I:$M,5,FALSE)),"")</f>
        <v>42480</v>
      </c>
      <c r="I9" s="4" t="s">
        <v>26</v>
      </c>
      <c r="J9" s="4"/>
      <c r="K9" s="4"/>
      <c r="L9" s="4"/>
      <c r="M9" s="128">
        <f>IFERROR(VLOOKUP(B9&amp;C9,'Banco de Dados'!$I:$N,6,FALSE),"")</f>
        <v>2000</v>
      </c>
      <c r="N9" s="141">
        <f t="shared" si="1"/>
        <v>0.2</v>
      </c>
      <c r="O9" s="2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</row>
    <row r="10" spans="1:37" x14ac:dyDescent="0.25">
      <c r="A10" s="137" t="str">
        <f t="shared" si="0"/>
        <v/>
      </c>
      <c r="B10" s="4"/>
      <c r="C10" s="4"/>
      <c r="D10" s="4"/>
      <c r="E10" s="137" t="str">
        <f>IFERROR(VLOOKUP(B10&amp;C10,'Banco de Dados'!$I:$L,4,FALSE),"")</f>
        <v/>
      </c>
      <c r="F10" s="137" t="str">
        <f>IFERROR(VLOOKUP(B10&amp;C10,'Banco de Dados'!$I:$L,3,FALSE),"")</f>
        <v/>
      </c>
      <c r="G10" s="125"/>
      <c r="H10" s="139" t="str">
        <f ca="1">IFERROR(DATE(YEAR(NOW()),VLOOKUP(I10,'Banco de Dados'!V:W,2,FALSE),VLOOKUP(B10&amp;C10,'Banco de Dados'!$I:$M,5,FALSE)),"")</f>
        <v/>
      </c>
      <c r="I10" s="4"/>
      <c r="J10" s="4"/>
      <c r="K10" s="4"/>
      <c r="L10" s="4"/>
      <c r="M10" s="128" t="str">
        <f>IFERROR(VLOOKUP(B10&amp;C10,'Banco de Dados'!$I:$N,6,FALSE),"")</f>
        <v/>
      </c>
      <c r="N10" s="141" t="str">
        <f t="shared" si="1"/>
        <v/>
      </c>
      <c r="O10" s="2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</row>
    <row r="11" spans="1:37" x14ac:dyDescent="0.25">
      <c r="A11" s="137" t="str">
        <f t="shared" si="0"/>
        <v/>
      </c>
      <c r="B11" s="4"/>
      <c r="C11" s="4"/>
      <c r="D11" s="4"/>
      <c r="E11" s="137" t="str">
        <f>IFERROR(VLOOKUP(B11&amp;C11,'Banco de Dados'!$I:$L,4,FALSE),"")</f>
        <v/>
      </c>
      <c r="F11" s="137" t="str">
        <f>IFERROR(VLOOKUP(B11&amp;C11,'Banco de Dados'!$I:$L,3,FALSE),"")</f>
        <v/>
      </c>
      <c r="G11" s="125"/>
      <c r="H11" s="139" t="str">
        <f ca="1">IFERROR(DATE(YEAR(NOW()),VLOOKUP(I11,'Banco de Dados'!V:W,2,FALSE),VLOOKUP(B11&amp;C11,'Banco de Dados'!$I:$M,5,FALSE)),"")</f>
        <v/>
      </c>
      <c r="I11" s="4"/>
      <c r="J11" s="4"/>
      <c r="K11" s="4"/>
      <c r="L11" s="4"/>
      <c r="M11" s="128" t="str">
        <f>IFERROR(VLOOKUP(B11&amp;C11,'Banco de Dados'!$I:$N,6,FALSE),"")</f>
        <v/>
      </c>
      <c r="N11" s="141" t="str">
        <f t="shared" si="1"/>
        <v/>
      </c>
      <c r="O11" s="2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</row>
    <row r="12" spans="1:37" x14ac:dyDescent="0.25">
      <c r="A12" s="137" t="str">
        <f t="shared" si="0"/>
        <v/>
      </c>
      <c r="B12" s="4"/>
      <c r="C12" s="4"/>
      <c r="D12" s="4"/>
      <c r="E12" s="137" t="str">
        <f>IFERROR(VLOOKUP(B12&amp;C12,'Banco de Dados'!$I:$L,4,FALSE),"")</f>
        <v/>
      </c>
      <c r="F12" s="137" t="str">
        <f>IFERROR(VLOOKUP(B12&amp;C12,'Banco de Dados'!$I:$L,3,FALSE),"")</f>
        <v/>
      </c>
      <c r="G12" s="125"/>
      <c r="H12" s="139" t="str">
        <f ca="1">IFERROR(DATE(YEAR(NOW()),VLOOKUP(I12,'Banco de Dados'!V:W,2,FALSE),VLOOKUP(B12&amp;C12,'Banco de Dados'!$I:$M,5,FALSE)),"")</f>
        <v/>
      </c>
      <c r="I12" s="4"/>
      <c r="J12" s="4"/>
      <c r="K12" s="4"/>
      <c r="L12" s="4"/>
      <c r="M12" s="128" t="str">
        <f>IFERROR(VLOOKUP(B12&amp;C12,'Banco de Dados'!$I:$N,6,FALSE),"")</f>
        <v/>
      </c>
      <c r="N12" s="141" t="str">
        <f t="shared" si="1"/>
        <v/>
      </c>
      <c r="O12" s="2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37" x14ac:dyDescent="0.25">
      <c r="A13" s="137" t="str">
        <f t="shared" si="0"/>
        <v/>
      </c>
      <c r="B13" s="4"/>
      <c r="C13" s="4"/>
      <c r="D13" s="4"/>
      <c r="E13" s="137" t="str">
        <f>IFERROR(VLOOKUP(B13&amp;C13,'Banco de Dados'!$I:$L,4,FALSE),"")</f>
        <v/>
      </c>
      <c r="F13" s="137" t="str">
        <f>IFERROR(VLOOKUP(B13&amp;C13,'Banco de Dados'!$I:$L,3,FALSE),"")</f>
        <v/>
      </c>
      <c r="G13" s="125"/>
      <c r="H13" s="139" t="str">
        <f ca="1">IFERROR(DATE(YEAR(NOW()),VLOOKUP(I13,'Banco de Dados'!V:W,2,FALSE),VLOOKUP(B13&amp;C13,'Banco de Dados'!$I:$M,5,FALSE)),"")</f>
        <v/>
      </c>
      <c r="I13" s="4"/>
      <c r="J13" s="4"/>
      <c r="K13" s="4"/>
      <c r="L13" s="4"/>
      <c r="M13" s="128" t="str">
        <f>IFERROR(VLOOKUP(B13&amp;C13,'Banco de Dados'!$I:$N,6,FALSE),"")</f>
        <v/>
      </c>
      <c r="N13" s="141" t="str">
        <f t="shared" si="1"/>
        <v/>
      </c>
      <c r="O13" s="2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</row>
    <row r="14" spans="1:37" x14ac:dyDescent="0.25">
      <c r="A14" s="137" t="str">
        <f t="shared" si="0"/>
        <v/>
      </c>
      <c r="B14" s="4"/>
      <c r="C14" s="4"/>
      <c r="D14" s="4"/>
      <c r="E14" s="137" t="str">
        <f>IFERROR(VLOOKUP(B14&amp;C14,'Banco de Dados'!$I:$L,4,FALSE),"")</f>
        <v/>
      </c>
      <c r="F14" s="137" t="str">
        <f>IFERROR(VLOOKUP(B14&amp;C14,'Banco de Dados'!$I:$L,3,FALSE),"")</f>
        <v/>
      </c>
      <c r="G14" s="125"/>
      <c r="H14" s="139" t="str">
        <f ca="1">IFERROR(DATE(YEAR(NOW()),VLOOKUP(I14,'Banco de Dados'!V:W,2,FALSE),VLOOKUP(B14&amp;C14,'Banco de Dados'!$I:$M,5,FALSE)),"")</f>
        <v/>
      </c>
      <c r="I14" s="4"/>
      <c r="J14" s="4"/>
      <c r="K14" s="4"/>
      <c r="L14" s="4"/>
      <c r="M14" s="128" t="str">
        <f>IFERROR(VLOOKUP(B14&amp;C14,'Banco de Dados'!$I:$N,6,FALSE),"")</f>
        <v/>
      </c>
      <c r="N14" s="141" t="str">
        <f t="shared" si="1"/>
        <v/>
      </c>
      <c r="O14" s="2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</row>
    <row r="15" spans="1:37" x14ac:dyDescent="0.25">
      <c r="A15" s="137" t="str">
        <f t="shared" si="0"/>
        <v/>
      </c>
      <c r="B15" s="4"/>
      <c r="C15" s="4"/>
      <c r="D15" s="4"/>
      <c r="E15" s="137" t="str">
        <f>IFERROR(VLOOKUP(B15&amp;C15,'Banco de Dados'!$I:$L,4,FALSE),"")</f>
        <v/>
      </c>
      <c r="F15" s="137" t="str">
        <f>IFERROR(VLOOKUP(B15&amp;C15,'Banco de Dados'!$I:$L,3,FALSE),"")</f>
        <v/>
      </c>
      <c r="G15" s="125"/>
      <c r="H15" s="139" t="str">
        <f ca="1">IFERROR(DATE(YEAR(NOW()),VLOOKUP(I15,'Banco de Dados'!V:W,2,FALSE),VLOOKUP(B15&amp;C15,'Banco de Dados'!$I:$M,5,FALSE)),"")</f>
        <v/>
      </c>
      <c r="I15" s="4"/>
      <c r="J15" s="4"/>
      <c r="K15" s="4"/>
      <c r="L15" s="4"/>
      <c r="M15" s="128" t="str">
        <f>IFERROR(VLOOKUP(B15&amp;C15,'Banco de Dados'!$I:$N,6,FALSE),"")</f>
        <v/>
      </c>
      <c r="N15" s="141" t="str">
        <f t="shared" si="1"/>
        <v/>
      </c>
      <c r="O15" s="2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</row>
    <row r="16" spans="1:37" x14ac:dyDescent="0.25">
      <c r="A16" s="137" t="str">
        <f t="shared" si="0"/>
        <v/>
      </c>
      <c r="B16" s="4"/>
      <c r="C16" s="4"/>
      <c r="D16" s="4"/>
      <c r="E16" s="137" t="str">
        <f>IFERROR(VLOOKUP(B16&amp;C16,'Banco de Dados'!$I:$L,4,FALSE),"")</f>
        <v/>
      </c>
      <c r="F16" s="137" t="str">
        <f>IFERROR(VLOOKUP(B16&amp;C16,'Banco de Dados'!$I:$L,3,FALSE),"")</f>
        <v/>
      </c>
      <c r="G16" s="125"/>
      <c r="H16" s="139" t="str">
        <f ca="1">IFERROR(DATE(YEAR(NOW()),VLOOKUP(I16,'Banco de Dados'!V:W,2,FALSE),VLOOKUP(B16&amp;C16,'Banco de Dados'!$I:$M,5,FALSE)),"")</f>
        <v/>
      </c>
      <c r="I16" s="4"/>
      <c r="J16" s="4"/>
      <c r="K16" s="4"/>
      <c r="L16" s="4"/>
      <c r="M16" s="128" t="str">
        <f>IFERROR(VLOOKUP(B16&amp;C16,'Banco de Dados'!$I:$N,6,FALSE),"")</f>
        <v/>
      </c>
      <c r="N16" s="141" t="str">
        <f t="shared" si="1"/>
        <v/>
      </c>
      <c r="O16" s="2"/>
      <c r="P16" s="2"/>
      <c r="Q16" s="2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</row>
    <row r="17" spans="1:29" x14ac:dyDescent="0.25">
      <c r="A17" s="137" t="str">
        <f t="shared" si="0"/>
        <v/>
      </c>
      <c r="B17" s="4"/>
      <c r="C17" s="4"/>
      <c r="D17" s="4"/>
      <c r="E17" s="137" t="str">
        <f>IFERROR(VLOOKUP(B17&amp;C17,'Banco de Dados'!$I:$L,4,FALSE),"")</f>
        <v/>
      </c>
      <c r="F17" s="137" t="str">
        <f>IFERROR(VLOOKUP(B17&amp;C17,'Banco de Dados'!$I:$L,3,FALSE),"")</f>
        <v/>
      </c>
      <c r="G17" s="125"/>
      <c r="H17" s="139" t="str">
        <f ca="1">IFERROR(DATE(YEAR(NOW()),VLOOKUP(I17,'Banco de Dados'!V:W,2,FALSE),VLOOKUP(B17&amp;C17,'Banco de Dados'!$I:$M,5,FALSE)),"")</f>
        <v/>
      </c>
      <c r="I17" s="4"/>
      <c r="J17" s="4"/>
      <c r="K17" s="4"/>
      <c r="L17" s="4"/>
      <c r="M17" s="128" t="str">
        <f>IFERROR(VLOOKUP(B17&amp;C17,'Banco de Dados'!$I:$N,6,FALSE),"")</f>
        <v/>
      </c>
      <c r="N17" s="141" t="str">
        <f t="shared" si="1"/>
        <v/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5">
      <c r="A18" s="137" t="str">
        <f t="shared" si="0"/>
        <v/>
      </c>
      <c r="B18" s="4"/>
      <c r="C18" s="4"/>
      <c r="D18" s="4"/>
      <c r="E18" s="137" t="str">
        <f>IFERROR(VLOOKUP(B18&amp;C18,'Banco de Dados'!$I:$L,4,FALSE),"")</f>
        <v/>
      </c>
      <c r="F18" s="137" t="str">
        <f>IFERROR(VLOOKUP(B18&amp;C18,'Banco de Dados'!$I:$L,3,FALSE),"")</f>
        <v/>
      </c>
      <c r="G18" s="125"/>
      <c r="H18" s="139" t="str">
        <f ca="1">IFERROR(DATE(YEAR(NOW()),VLOOKUP(I18,'Banco de Dados'!V:W,2,FALSE),VLOOKUP(B18&amp;C18,'Banco de Dados'!$I:$M,5,FALSE)),"")</f>
        <v/>
      </c>
      <c r="I18" s="4"/>
      <c r="J18" s="4"/>
      <c r="K18" s="4"/>
      <c r="L18" s="4"/>
      <c r="M18" s="128" t="str">
        <f>IFERROR(VLOOKUP(B18&amp;C18,'Banco de Dados'!$I:$N,6,FALSE),"")</f>
        <v/>
      </c>
      <c r="N18" s="141" t="str">
        <f t="shared" si="1"/>
        <v/>
      </c>
      <c r="O18" s="119"/>
      <c r="P18" s="119"/>
      <c r="Q18" s="119"/>
      <c r="R18" s="119"/>
      <c r="S18" s="119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25">
      <c r="A19" s="137" t="str">
        <f t="shared" si="0"/>
        <v/>
      </c>
      <c r="B19" s="4"/>
      <c r="C19" s="4"/>
      <c r="D19" s="4"/>
      <c r="E19" s="137" t="str">
        <f>IFERROR(VLOOKUP(B19&amp;C19,'Banco de Dados'!$I:$L,4,FALSE),"")</f>
        <v/>
      </c>
      <c r="F19" s="137" t="str">
        <f>IFERROR(VLOOKUP(B19&amp;C19,'Banco de Dados'!$I:$L,3,FALSE),"")</f>
        <v/>
      </c>
      <c r="G19" s="125"/>
      <c r="H19" s="139" t="str">
        <f ca="1">IFERROR(DATE(YEAR(NOW()),VLOOKUP(I19,'Banco de Dados'!V:W,2,FALSE),VLOOKUP(B19&amp;C19,'Banco de Dados'!$I:$M,5,FALSE)),"")</f>
        <v/>
      </c>
      <c r="I19" s="4"/>
      <c r="J19" s="4"/>
      <c r="K19" s="4"/>
      <c r="L19" s="4"/>
      <c r="M19" s="128" t="str">
        <f>IFERROR(VLOOKUP(B19&amp;C19,'Banco de Dados'!$I:$N,6,FALSE),"")</f>
        <v/>
      </c>
      <c r="N19" s="141" t="str">
        <f t="shared" si="1"/>
        <v/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25">
      <c r="A20" s="137" t="str">
        <f t="shared" si="0"/>
        <v/>
      </c>
      <c r="B20" s="4"/>
      <c r="C20" s="4"/>
      <c r="D20" s="4"/>
      <c r="E20" s="137" t="str">
        <f>IFERROR(VLOOKUP(B20&amp;C20,'Banco de Dados'!$I:$L,4,FALSE),"")</f>
        <v/>
      </c>
      <c r="F20" s="137" t="str">
        <f>IFERROR(VLOOKUP(B20&amp;C20,'Banco de Dados'!$I:$L,3,FALSE),"")</f>
        <v/>
      </c>
      <c r="G20" s="125"/>
      <c r="H20" s="139" t="str">
        <f ca="1">IFERROR(DATE(YEAR(NOW()),VLOOKUP(I20,'Banco de Dados'!V:W,2,FALSE),VLOOKUP(B20&amp;C20,'Banco de Dados'!$I:$M,5,FALSE)),"")</f>
        <v/>
      </c>
      <c r="I20" s="4"/>
      <c r="J20" s="4"/>
      <c r="K20" s="4"/>
      <c r="L20" s="4"/>
      <c r="M20" s="128" t="str">
        <f>IFERROR(VLOOKUP(B20&amp;C20,'Banco de Dados'!$I:$N,6,FALSE),"")</f>
        <v/>
      </c>
      <c r="N20" s="141" t="str">
        <f t="shared" si="1"/>
        <v/>
      </c>
      <c r="O20" s="6"/>
      <c r="P20" s="6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25">
      <c r="A21" s="137" t="str">
        <f t="shared" si="0"/>
        <v/>
      </c>
      <c r="B21" s="4"/>
      <c r="C21" s="4"/>
      <c r="D21" s="4"/>
      <c r="E21" s="137" t="str">
        <f>IFERROR(VLOOKUP(B21&amp;C21,'Banco de Dados'!$I:$L,4,FALSE),"")</f>
        <v/>
      </c>
      <c r="F21" s="137" t="str">
        <f>IFERROR(VLOOKUP(B21&amp;C21,'Banco de Dados'!$I:$L,3,FALSE),"")</f>
        <v/>
      </c>
      <c r="G21" s="125"/>
      <c r="H21" s="139" t="str">
        <f ca="1">IFERROR(DATE(YEAR(NOW()),VLOOKUP(I21,'Banco de Dados'!V:W,2,FALSE),VLOOKUP(B21&amp;C21,'Banco de Dados'!$I:$M,5,FALSE)),"")</f>
        <v/>
      </c>
      <c r="I21" s="4"/>
      <c r="J21" s="4"/>
      <c r="K21" s="4"/>
      <c r="L21" s="4"/>
      <c r="M21" s="128" t="str">
        <f>IFERROR(VLOOKUP(B21&amp;C21,'Banco de Dados'!$I:$N,6,FALSE),"")</f>
        <v/>
      </c>
      <c r="N21" s="141" t="str">
        <f t="shared" si="1"/>
        <v/>
      </c>
      <c r="O21" s="3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25">
      <c r="A22" s="137" t="str">
        <f t="shared" si="0"/>
        <v/>
      </c>
      <c r="B22" s="4"/>
      <c r="C22" s="4"/>
      <c r="D22" s="4"/>
      <c r="E22" s="137" t="str">
        <f>IFERROR(VLOOKUP(B22&amp;C22,'Banco de Dados'!$I:$L,4,FALSE),"")</f>
        <v/>
      </c>
      <c r="F22" s="137" t="str">
        <f>IFERROR(VLOOKUP(B22&amp;C22,'Banco de Dados'!$I:$L,3,FALSE),"")</f>
        <v/>
      </c>
      <c r="G22" s="125"/>
      <c r="H22" s="139" t="str">
        <f ca="1">IFERROR(DATE(YEAR(NOW()),VLOOKUP(I22,'Banco de Dados'!V:W,2,FALSE),VLOOKUP(B22&amp;C22,'Banco de Dados'!$I:$M,5,FALSE)),"")</f>
        <v/>
      </c>
      <c r="I22" s="4"/>
      <c r="J22" s="4"/>
      <c r="K22" s="4"/>
      <c r="L22" s="4"/>
      <c r="M22" s="128" t="str">
        <f>IFERROR(VLOOKUP(B22&amp;C22,'Banco de Dados'!$I:$N,6,FALSE),"")</f>
        <v/>
      </c>
      <c r="N22" s="141" t="str">
        <f t="shared" si="1"/>
        <v/>
      </c>
      <c r="O22" s="3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25">
      <c r="A23" s="137" t="str">
        <f t="shared" si="0"/>
        <v/>
      </c>
      <c r="B23" s="4"/>
      <c r="C23" s="4"/>
      <c r="D23" s="4"/>
      <c r="E23" s="137" t="str">
        <f>IFERROR(VLOOKUP(B23&amp;C23,'Banco de Dados'!$I:$L,4,FALSE),"")</f>
        <v/>
      </c>
      <c r="F23" s="137" t="str">
        <f>IFERROR(VLOOKUP(B23&amp;C23,'Banco de Dados'!$I:$L,3,FALSE),"")</f>
        <v/>
      </c>
      <c r="G23" s="125"/>
      <c r="H23" s="139" t="str">
        <f ca="1">IFERROR(DATE(YEAR(NOW()),VLOOKUP(I23,'Banco de Dados'!V:W,2,FALSE),VLOOKUP(B23&amp;C23,'Banco de Dados'!$I:$M,5,FALSE)),"")</f>
        <v/>
      </c>
      <c r="I23" s="4"/>
      <c r="J23" s="4"/>
      <c r="K23" s="4"/>
      <c r="L23" s="4"/>
      <c r="M23" s="128" t="str">
        <f>IFERROR(VLOOKUP(B23&amp;C23,'Banco de Dados'!$I:$N,6,FALSE),"")</f>
        <v/>
      </c>
      <c r="N23" s="141" t="str">
        <f t="shared" si="1"/>
        <v/>
      </c>
      <c r="O23" s="6"/>
      <c r="P23" s="6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25">
      <c r="A24" s="137" t="str">
        <f t="shared" si="0"/>
        <v/>
      </c>
      <c r="B24" s="4"/>
      <c r="C24" s="4"/>
      <c r="D24" s="4"/>
      <c r="E24" s="137" t="str">
        <f>IFERROR(VLOOKUP(B24&amp;C24,'Banco de Dados'!$I:$L,4,FALSE),"")</f>
        <v/>
      </c>
      <c r="F24" s="137" t="str">
        <f>IFERROR(VLOOKUP(B24&amp;C24,'Banco de Dados'!$I:$L,3,FALSE),"")</f>
        <v/>
      </c>
      <c r="G24" s="125"/>
      <c r="H24" s="139" t="str">
        <f ca="1">IFERROR(DATE(YEAR(NOW()),VLOOKUP(I24,'Banco de Dados'!V:W,2,FALSE),VLOOKUP(B24&amp;C24,'Banco de Dados'!$I:$M,5,FALSE)),"")</f>
        <v/>
      </c>
      <c r="I24" s="4"/>
      <c r="J24" s="4"/>
      <c r="K24" s="4"/>
      <c r="L24" s="4"/>
      <c r="M24" s="128" t="str">
        <f>IFERROR(VLOOKUP(B24&amp;C24,'Banco de Dados'!$I:$N,6,FALSE),"")</f>
        <v/>
      </c>
      <c r="N24" s="141" t="str">
        <f t="shared" si="1"/>
        <v/>
      </c>
      <c r="O24" s="3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25">
      <c r="A25" s="137" t="str">
        <f t="shared" si="0"/>
        <v/>
      </c>
      <c r="B25" s="4"/>
      <c r="C25" s="4"/>
      <c r="D25" s="4"/>
      <c r="E25" s="137" t="str">
        <f>IFERROR(VLOOKUP(B25&amp;C25,'Banco de Dados'!$I:$L,4,FALSE),"")</f>
        <v/>
      </c>
      <c r="F25" s="137" t="str">
        <f>IFERROR(VLOOKUP(B25&amp;C25,'Banco de Dados'!$I:$L,3,FALSE),"")</f>
        <v/>
      </c>
      <c r="G25" s="125"/>
      <c r="H25" s="139" t="str">
        <f ca="1">IFERROR(DATE(YEAR(NOW()),VLOOKUP(I25,'Banco de Dados'!V:W,2,FALSE),VLOOKUP(B25&amp;C25,'Banco de Dados'!$I:$M,5,FALSE)),"")</f>
        <v/>
      </c>
      <c r="I25" s="4"/>
      <c r="J25" s="4"/>
      <c r="K25" s="4"/>
      <c r="L25" s="4"/>
      <c r="M25" s="128" t="str">
        <f>IFERROR(VLOOKUP(B25&amp;C25,'Banco de Dados'!$I:$N,6,FALSE),"")</f>
        <v/>
      </c>
      <c r="N25" s="141" t="str">
        <f t="shared" si="1"/>
        <v/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25">
      <c r="A26" s="137" t="str">
        <f t="shared" si="0"/>
        <v/>
      </c>
      <c r="B26" s="4"/>
      <c r="C26" s="4"/>
      <c r="D26" s="4"/>
      <c r="E26" s="137" t="str">
        <f>IFERROR(VLOOKUP(B26&amp;C26,'Banco de Dados'!$I:$L,4,FALSE),"")</f>
        <v/>
      </c>
      <c r="F26" s="137" t="str">
        <f>IFERROR(VLOOKUP(B26&amp;C26,'Banco de Dados'!$I:$L,3,FALSE),"")</f>
        <v/>
      </c>
      <c r="G26" s="125"/>
      <c r="H26" s="139" t="str">
        <f ca="1">IFERROR(DATE(YEAR(NOW()),VLOOKUP(I26,'Banco de Dados'!V:W,2,FALSE),VLOOKUP(B26&amp;C26,'Banco de Dados'!$I:$M,5,FALSE)),"")</f>
        <v/>
      </c>
      <c r="I26" s="4"/>
      <c r="J26" s="4"/>
      <c r="K26" s="4"/>
      <c r="L26" s="4"/>
      <c r="M26" s="128" t="str">
        <f>IFERROR(VLOOKUP(B26&amp;C26,'Banco de Dados'!$I:$N,6,FALSE),"")</f>
        <v/>
      </c>
      <c r="N26" s="141" t="str">
        <f t="shared" si="1"/>
        <v/>
      </c>
      <c r="O26" s="6"/>
      <c r="P26" s="6"/>
      <c r="Q26" s="6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collapsed="1" x14ac:dyDescent="0.25">
      <c r="A27" s="137" t="str">
        <f t="shared" si="0"/>
        <v/>
      </c>
      <c r="B27" s="4"/>
      <c r="C27" s="4"/>
      <c r="D27" s="4"/>
      <c r="E27" s="137" t="str">
        <f>IFERROR(VLOOKUP(B27&amp;C27,'Banco de Dados'!$I:$L,4,FALSE),"")</f>
        <v/>
      </c>
      <c r="F27" s="137" t="str">
        <f>IFERROR(VLOOKUP(B27&amp;C27,'Banco de Dados'!$I:$L,3,FALSE),"")</f>
        <v/>
      </c>
      <c r="G27" s="125"/>
      <c r="H27" s="139" t="str">
        <f ca="1">IFERROR(DATE(YEAR(NOW()),VLOOKUP(I27,'Banco de Dados'!V:W,2,FALSE),VLOOKUP(B27&amp;C27,'Banco de Dados'!$I:$M,5,FALSE)),"")</f>
        <v/>
      </c>
      <c r="I27" s="4"/>
      <c r="J27" s="4"/>
      <c r="K27" s="4"/>
      <c r="L27" s="4"/>
      <c r="M27" s="128" t="str">
        <f>IFERROR(VLOOKUP(B27&amp;C27,'Banco de Dados'!$I:$N,6,FALSE),"")</f>
        <v/>
      </c>
      <c r="N27" s="141" t="str">
        <f t="shared" si="1"/>
        <v/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25">
      <c r="A28" s="137" t="str">
        <f t="shared" si="0"/>
        <v/>
      </c>
      <c r="B28" s="4"/>
      <c r="C28" s="4"/>
      <c r="D28" s="4"/>
      <c r="E28" s="137" t="str">
        <f>IFERROR(VLOOKUP(B28&amp;C28,'Banco de Dados'!$I:$L,4,FALSE),"")</f>
        <v/>
      </c>
      <c r="F28" s="137" t="str">
        <f>IFERROR(VLOOKUP(B28&amp;C28,'Banco de Dados'!$I:$L,3,FALSE),"")</f>
        <v/>
      </c>
      <c r="G28" s="125"/>
      <c r="H28" s="139" t="str">
        <f ca="1">IFERROR(DATE(YEAR(NOW()),VLOOKUP(I28,'Banco de Dados'!V:W,2,FALSE),VLOOKUP(B28&amp;C28,'Banco de Dados'!$I:$M,5,FALSE)),"")</f>
        <v/>
      </c>
      <c r="I28" s="4"/>
      <c r="J28" s="4"/>
      <c r="K28" s="4"/>
      <c r="L28" s="4"/>
      <c r="M28" s="128" t="str">
        <f>IFERROR(VLOOKUP(B28&amp;C28,'Banco de Dados'!$I:$N,6,FALSE),"")</f>
        <v/>
      </c>
      <c r="N28" s="141" t="str">
        <f t="shared" si="1"/>
        <v/>
      </c>
    </row>
    <row r="29" spans="1:29" x14ac:dyDescent="0.25">
      <c r="A29" s="137" t="str">
        <f t="shared" si="0"/>
        <v/>
      </c>
      <c r="B29" s="4"/>
      <c r="C29" s="4"/>
      <c r="D29" s="4"/>
      <c r="E29" s="137" t="str">
        <f>IFERROR(VLOOKUP(B29&amp;C29,'Banco de Dados'!$I:$L,4,FALSE),"")</f>
        <v/>
      </c>
      <c r="F29" s="137" t="str">
        <f>IFERROR(VLOOKUP(B29&amp;C29,'Banco de Dados'!$I:$L,3,FALSE),"")</f>
        <v/>
      </c>
      <c r="G29" s="125"/>
      <c r="H29" s="139" t="str">
        <f ca="1">IFERROR(DATE(YEAR(NOW()),VLOOKUP(I29,'Banco de Dados'!V:W,2,FALSE),VLOOKUP(B29&amp;C29,'Banco de Dados'!$I:$M,5,FALSE)),"")</f>
        <v/>
      </c>
      <c r="I29" s="4"/>
      <c r="J29" s="4"/>
      <c r="K29" s="4"/>
      <c r="L29" s="4"/>
      <c r="M29" s="128" t="str">
        <f>IFERROR(VLOOKUP(B29&amp;C29,'Banco de Dados'!$I:$N,6,FALSE),"")</f>
        <v/>
      </c>
      <c r="N29" s="141" t="str">
        <f t="shared" si="1"/>
        <v/>
      </c>
    </row>
    <row r="30" spans="1:29" x14ac:dyDescent="0.25">
      <c r="A30" s="137" t="str">
        <f t="shared" si="0"/>
        <v/>
      </c>
      <c r="B30" s="4"/>
      <c r="C30" s="4"/>
      <c r="D30" s="4"/>
      <c r="E30" s="137" t="str">
        <f>IFERROR(VLOOKUP(B30&amp;C30,'Banco de Dados'!$I:$L,4,FALSE),"")</f>
        <v/>
      </c>
      <c r="F30" s="137" t="str">
        <f>IFERROR(VLOOKUP(B30&amp;C30,'Banco de Dados'!$I:$L,3,FALSE),"")</f>
        <v/>
      </c>
      <c r="G30" s="125"/>
      <c r="H30" s="139" t="str">
        <f ca="1">IFERROR(DATE(YEAR(NOW()),VLOOKUP(I30,'Banco de Dados'!V:W,2,FALSE),VLOOKUP(B30&amp;C30,'Banco de Dados'!$I:$M,5,FALSE)),"")</f>
        <v/>
      </c>
      <c r="I30" s="4"/>
      <c r="J30" s="4"/>
      <c r="K30" s="4"/>
      <c r="L30" s="4"/>
      <c r="M30" s="128" t="str">
        <f>IFERROR(VLOOKUP(B30&amp;C30,'Banco de Dados'!$I:$N,6,FALSE),"")</f>
        <v/>
      </c>
      <c r="N30" s="141" t="str">
        <f t="shared" si="1"/>
        <v/>
      </c>
    </row>
    <row r="31" spans="1:29" x14ac:dyDescent="0.25">
      <c r="A31" s="137" t="str">
        <f t="shared" si="0"/>
        <v/>
      </c>
      <c r="B31" s="4"/>
      <c r="C31" s="4"/>
      <c r="D31" s="4"/>
      <c r="E31" s="137" t="str">
        <f>IFERROR(VLOOKUP(B31&amp;C31,'Banco de Dados'!$I:$L,4,FALSE),"")</f>
        <v/>
      </c>
      <c r="F31" s="137" t="str">
        <f>IFERROR(VLOOKUP(B31&amp;C31,'Banco de Dados'!$I:$L,3,FALSE),"")</f>
        <v/>
      </c>
      <c r="G31" s="125"/>
      <c r="H31" s="139" t="str">
        <f ca="1">IFERROR(DATE(YEAR(NOW()),VLOOKUP(I31,'Banco de Dados'!V:W,2,FALSE),VLOOKUP(B31&amp;C31,'Banco de Dados'!$I:$M,5,FALSE)),"")</f>
        <v/>
      </c>
      <c r="I31" s="4"/>
      <c r="J31" s="4"/>
      <c r="K31" s="4"/>
      <c r="L31" s="4"/>
      <c r="M31" s="128" t="str">
        <f>IFERROR(VLOOKUP(B31&amp;C31,'Banco de Dados'!$I:$N,6,FALSE),"")</f>
        <v/>
      </c>
      <c r="N31" s="141" t="str">
        <f t="shared" si="1"/>
        <v/>
      </c>
    </row>
    <row r="32" spans="1:29" x14ac:dyDescent="0.25">
      <c r="A32" s="137" t="str">
        <f t="shared" si="0"/>
        <v/>
      </c>
      <c r="B32" s="4"/>
      <c r="C32" s="4"/>
      <c r="D32" s="4"/>
      <c r="E32" s="137" t="str">
        <f>IFERROR(VLOOKUP(B32&amp;C32,'Banco de Dados'!$I:$L,4,FALSE),"")</f>
        <v/>
      </c>
      <c r="F32" s="137" t="str">
        <f>IFERROR(VLOOKUP(B32&amp;C32,'Banco de Dados'!$I:$L,3,FALSE),"")</f>
        <v/>
      </c>
      <c r="G32" s="125"/>
      <c r="H32" s="139" t="str">
        <f ca="1">IFERROR(DATE(YEAR(NOW()),VLOOKUP(I32,'Banco de Dados'!V:W,2,FALSE),VLOOKUP(B32&amp;C32,'Banco de Dados'!$I:$M,5,FALSE)),"")</f>
        <v/>
      </c>
      <c r="I32" s="4"/>
      <c r="J32" s="4"/>
      <c r="K32" s="4"/>
      <c r="L32" s="4"/>
      <c r="M32" s="128" t="str">
        <f>IFERROR(VLOOKUP(B32&amp;C32,'Banco de Dados'!$I:$N,6,FALSE),"")</f>
        <v/>
      </c>
      <c r="N32" s="141" t="str">
        <f t="shared" si="1"/>
        <v/>
      </c>
    </row>
    <row r="33" spans="1:14" x14ac:dyDescent="0.25">
      <c r="A33" s="137" t="str">
        <f t="shared" si="0"/>
        <v/>
      </c>
      <c r="B33" s="4"/>
      <c r="C33" s="4"/>
      <c r="D33" s="4"/>
      <c r="E33" s="137" t="str">
        <f>IFERROR(VLOOKUP(B33&amp;C33,'Banco de Dados'!$I:$L,4,FALSE),"")</f>
        <v/>
      </c>
      <c r="F33" s="137" t="str">
        <f>IFERROR(VLOOKUP(B33&amp;C33,'Banco de Dados'!$I:$L,3,FALSE),"")</f>
        <v/>
      </c>
      <c r="G33" s="125"/>
      <c r="H33" s="139" t="str">
        <f ca="1">IFERROR(DATE(YEAR(NOW()),VLOOKUP(I33,'Banco de Dados'!V:W,2,FALSE),VLOOKUP(B33&amp;C33,'Banco de Dados'!$I:$M,5,FALSE)),"")</f>
        <v/>
      </c>
      <c r="I33" s="4"/>
      <c r="J33" s="4"/>
      <c r="K33" s="4"/>
      <c r="L33" s="4"/>
      <c r="M33" s="128" t="str">
        <f>IFERROR(VLOOKUP(B33&amp;C33,'Banco de Dados'!$I:$N,6,FALSE),"")</f>
        <v/>
      </c>
      <c r="N33" s="141" t="str">
        <f t="shared" si="1"/>
        <v/>
      </c>
    </row>
    <row r="34" spans="1:14" x14ac:dyDescent="0.25">
      <c r="A34" s="137" t="str">
        <f t="shared" si="0"/>
        <v/>
      </c>
      <c r="B34" s="4"/>
      <c r="C34" s="4"/>
      <c r="D34" s="4"/>
      <c r="E34" s="137" t="str">
        <f>IFERROR(VLOOKUP(B34&amp;C34,'Banco de Dados'!$I:$L,4,FALSE),"")</f>
        <v/>
      </c>
      <c r="F34" s="137" t="str">
        <f>IFERROR(VLOOKUP(B34&amp;C34,'Banco de Dados'!$I:$L,3,FALSE),"")</f>
        <v/>
      </c>
      <c r="G34" s="125"/>
      <c r="H34" s="139" t="str">
        <f ca="1">IFERROR(DATE(YEAR(NOW()),VLOOKUP(I34,'Banco de Dados'!V:W,2,FALSE),VLOOKUP(B34&amp;C34,'Banco de Dados'!$I:$M,5,FALSE)),"")</f>
        <v/>
      </c>
      <c r="I34" s="4"/>
      <c r="J34" s="4"/>
      <c r="K34" s="4"/>
      <c r="L34" s="4"/>
      <c r="M34" s="128" t="str">
        <f>IFERROR(VLOOKUP(B34&amp;C34,'Banco de Dados'!$I:$N,6,FALSE),"")</f>
        <v/>
      </c>
      <c r="N34" s="141" t="str">
        <f t="shared" si="1"/>
        <v/>
      </c>
    </row>
    <row r="35" spans="1:14" x14ac:dyDescent="0.25">
      <c r="A35" s="137" t="str">
        <f t="shared" si="0"/>
        <v/>
      </c>
      <c r="B35" s="4"/>
      <c r="C35" s="4"/>
      <c r="D35" s="4"/>
      <c r="E35" s="137" t="str">
        <f>IFERROR(VLOOKUP(B35&amp;C35,'Banco de Dados'!$I:$L,4,FALSE),"")</f>
        <v/>
      </c>
      <c r="F35" s="137" t="str">
        <f>IFERROR(VLOOKUP(B35&amp;C35,'Banco de Dados'!$I:$L,3,FALSE),"")</f>
        <v/>
      </c>
      <c r="G35" s="125"/>
      <c r="H35" s="139" t="str">
        <f ca="1">IFERROR(DATE(YEAR(NOW()),VLOOKUP(I35,'Banco de Dados'!V:W,2,FALSE),VLOOKUP(B35&amp;C35,'Banco de Dados'!$I:$M,5,FALSE)),"")</f>
        <v/>
      </c>
      <c r="I35" s="4"/>
      <c r="J35" s="4"/>
      <c r="K35" s="4"/>
      <c r="L35" s="4"/>
      <c r="M35" s="128" t="str">
        <f>IFERROR(VLOOKUP(B35&amp;C35,'Banco de Dados'!$I:$N,6,FALSE),"")</f>
        <v/>
      </c>
      <c r="N35" s="141" t="str">
        <f t="shared" si="1"/>
        <v/>
      </c>
    </row>
    <row r="36" spans="1:14" x14ac:dyDescent="0.25">
      <c r="A36" s="137" t="str">
        <f t="shared" si="0"/>
        <v/>
      </c>
      <c r="B36" s="4"/>
      <c r="C36" s="4"/>
      <c r="D36" s="4"/>
      <c r="E36" s="137" t="str">
        <f>IFERROR(VLOOKUP(B36&amp;C36,'Banco de Dados'!$I:$L,4,FALSE),"")</f>
        <v/>
      </c>
      <c r="F36" s="137" t="str">
        <f>IFERROR(VLOOKUP(B36&amp;C36,'Banco de Dados'!$I:$L,3,FALSE),"")</f>
        <v/>
      </c>
      <c r="G36" s="125"/>
      <c r="H36" s="139" t="str">
        <f ca="1">IFERROR(DATE(YEAR(NOW()),VLOOKUP(I36,'Banco de Dados'!V:W,2,FALSE),VLOOKUP(B36&amp;C36,'Banco de Dados'!$I:$M,5,FALSE)),"")</f>
        <v/>
      </c>
      <c r="I36" s="4"/>
      <c r="J36" s="4"/>
      <c r="K36" s="4"/>
      <c r="L36" s="4"/>
      <c r="M36" s="128" t="str">
        <f>IFERROR(VLOOKUP(B36&amp;C36,'Banco de Dados'!$I:$N,6,FALSE),"")</f>
        <v/>
      </c>
      <c r="N36" s="141" t="str">
        <f t="shared" si="1"/>
        <v/>
      </c>
    </row>
    <row r="37" spans="1:14" x14ac:dyDescent="0.25">
      <c r="A37" s="137" t="str">
        <f t="shared" si="0"/>
        <v/>
      </c>
      <c r="B37" s="4"/>
      <c r="C37" s="4"/>
      <c r="D37" s="4"/>
      <c r="E37" s="137" t="str">
        <f>IFERROR(VLOOKUP(B37&amp;C37,'Banco de Dados'!$I:$L,4,FALSE),"")</f>
        <v/>
      </c>
      <c r="F37" s="137" t="str">
        <f>IFERROR(VLOOKUP(B37&amp;C37,'Banco de Dados'!$I:$L,3,FALSE),"")</f>
        <v/>
      </c>
      <c r="G37" s="125"/>
      <c r="H37" s="139" t="str">
        <f ca="1">IFERROR(DATE(YEAR(NOW()),VLOOKUP(I37,'Banco de Dados'!V:W,2,FALSE),VLOOKUP(B37&amp;C37,'Banco de Dados'!$I:$M,5,FALSE)),"")</f>
        <v/>
      </c>
      <c r="I37" s="4"/>
      <c r="J37" s="4"/>
      <c r="K37" s="4"/>
      <c r="L37" s="4"/>
      <c r="M37" s="128" t="str">
        <f>IFERROR(VLOOKUP(B37&amp;C37,'Banco de Dados'!$I:$N,6,FALSE),"")</f>
        <v/>
      </c>
      <c r="N37" s="141" t="str">
        <f t="shared" si="1"/>
        <v/>
      </c>
    </row>
    <row r="38" spans="1:14" x14ac:dyDescent="0.25">
      <c r="A38" s="137" t="str">
        <f t="shared" si="0"/>
        <v/>
      </c>
      <c r="B38" s="4"/>
      <c r="C38" s="4"/>
      <c r="D38" s="4"/>
      <c r="E38" s="137" t="str">
        <f>IFERROR(VLOOKUP(B38&amp;C38,'Banco de Dados'!$I:$L,4,FALSE),"")</f>
        <v/>
      </c>
      <c r="F38" s="137" t="str">
        <f>IFERROR(VLOOKUP(B38&amp;C38,'Banco de Dados'!$I:$L,3,FALSE),"")</f>
        <v/>
      </c>
      <c r="G38" s="125"/>
      <c r="H38" s="139" t="str">
        <f ca="1">IFERROR(DATE(YEAR(NOW()),VLOOKUP(I38,'Banco de Dados'!V:W,2,FALSE),VLOOKUP(B38&amp;C38,'Banco de Dados'!$I:$M,5,FALSE)),"")</f>
        <v/>
      </c>
      <c r="I38" s="4"/>
      <c r="J38" s="4"/>
      <c r="K38" s="4"/>
      <c r="L38" s="4"/>
      <c r="M38" s="128" t="str">
        <f>IFERROR(VLOOKUP(B38&amp;C38,'Banco de Dados'!$I:$N,6,FALSE),"")</f>
        <v/>
      </c>
      <c r="N38" s="141" t="str">
        <f t="shared" si="1"/>
        <v/>
      </c>
    </row>
    <row r="39" spans="1:14" x14ac:dyDescent="0.25">
      <c r="A39" s="137" t="str">
        <f t="shared" si="0"/>
        <v/>
      </c>
      <c r="B39" s="4"/>
      <c r="C39" s="4"/>
      <c r="D39" s="4"/>
      <c r="E39" s="137" t="str">
        <f>IFERROR(VLOOKUP(B39&amp;C39,'Banco de Dados'!$I:$L,4,FALSE),"")</f>
        <v/>
      </c>
      <c r="F39" s="137" t="str">
        <f>IFERROR(VLOOKUP(B39&amp;C39,'Banco de Dados'!$I:$L,3,FALSE),"")</f>
        <v/>
      </c>
      <c r="G39" s="125"/>
      <c r="H39" s="139" t="str">
        <f ca="1">IFERROR(DATE(YEAR(NOW()),VLOOKUP(I39,'Banco de Dados'!V:W,2,FALSE),VLOOKUP(B39&amp;C39,'Banco de Dados'!$I:$M,5,FALSE)),"")</f>
        <v/>
      </c>
      <c r="I39" s="4"/>
      <c r="J39" s="4"/>
      <c r="K39" s="4"/>
      <c r="L39" s="4"/>
      <c r="M39" s="128" t="str">
        <f>IFERROR(VLOOKUP(B39&amp;C39,'Banco de Dados'!$I:$N,6,FALSE),"")</f>
        <v/>
      </c>
      <c r="N39" s="141" t="str">
        <f t="shared" si="1"/>
        <v/>
      </c>
    </row>
    <row r="40" spans="1:14" x14ac:dyDescent="0.25">
      <c r="A40" s="137" t="str">
        <f t="shared" si="0"/>
        <v/>
      </c>
      <c r="B40" s="4"/>
      <c r="C40" s="4"/>
      <c r="D40" s="4"/>
      <c r="E40" s="137" t="str">
        <f>IFERROR(VLOOKUP(B40&amp;C40,'Banco de Dados'!$I:$L,4,FALSE),"")</f>
        <v/>
      </c>
      <c r="F40" s="137" t="str">
        <f>IFERROR(VLOOKUP(B40&amp;C40,'Banco de Dados'!$I:$L,3,FALSE),"")</f>
        <v/>
      </c>
      <c r="G40" s="125"/>
      <c r="H40" s="139" t="str">
        <f ca="1">IFERROR(DATE(YEAR(NOW()),VLOOKUP(I40,'Banco de Dados'!V:W,2,FALSE),VLOOKUP(B40&amp;C40,'Banco de Dados'!$I:$M,5,FALSE)),"")</f>
        <v/>
      </c>
      <c r="I40" s="4"/>
      <c r="J40" s="4"/>
      <c r="K40" s="4"/>
      <c r="L40" s="4"/>
      <c r="M40" s="128" t="str">
        <f>IFERROR(VLOOKUP(B40&amp;C40,'Banco de Dados'!$I:$N,6,FALSE),"")</f>
        <v/>
      </c>
      <c r="N40" s="141" t="str">
        <f t="shared" si="1"/>
        <v/>
      </c>
    </row>
    <row r="41" spans="1:14" x14ac:dyDescent="0.25">
      <c r="A41" s="137" t="str">
        <f t="shared" si="0"/>
        <v/>
      </c>
      <c r="B41" s="4"/>
      <c r="C41" s="4"/>
      <c r="D41" s="4"/>
      <c r="E41" s="137" t="str">
        <f>IFERROR(VLOOKUP(B41&amp;C41,'Banco de Dados'!$I:$L,4,FALSE),"")</f>
        <v/>
      </c>
      <c r="F41" s="137" t="str">
        <f>IFERROR(VLOOKUP(B41&amp;C41,'Banco de Dados'!$I:$L,3,FALSE),"")</f>
        <v/>
      </c>
      <c r="G41" s="125"/>
      <c r="H41" s="139" t="str">
        <f ca="1">IFERROR(DATE(YEAR(NOW()),VLOOKUP(I41,'Banco de Dados'!V:W,2,FALSE),VLOOKUP(B41&amp;C41,'Banco de Dados'!$I:$M,5,FALSE)),"")</f>
        <v/>
      </c>
      <c r="I41" s="4"/>
      <c r="J41" s="4"/>
      <c r="K41" s="4"/>
      <c r="L41" s="4"/>
      <c r="M41" s="128" t="str">
        <f>IFERROR(VLOOKUP(B41&amp;C41,'Banco de Dados'!$I:$N,6,FALSE),"")</f>
        <v/>
      </c>
      <c r="N41" s="141" t="str">
        <f t="shared" si="1"/>
        <v/>
      </c>
    </row>
    <row r="42" spans="1:14" x14ac:dyDescent="0.25">
      <c r="A42" s="137" t="str">
        <f t="shared" si="0"/>
        <v/>
      </c>
      <c r="B42" s="4"/>
      <c r="C42" s="4"/>
      <c r="D42" s="4"/>
      <c r="E42" s="137" t="str">
        <f>IFERROR(VLOOKUP(B42&amp;C42,'Banco de Dados'!$I:$L,4,FALSE),"")</f>
        <v/>
      </c>
      <c r="F42" s="137" t="str">
        <f>IFERROR(VLOOKUP(B42&amp;C42,'Banco de Dados'!$I:$L,3,FALSE),"")</f>
        <v/>
      </c>
      <c r="G42" s="125"/>
      <c r="H42" s="139" t="str">
        <f ca="1">IFERROR(DATE(YEAR(NOW()),VLOOKUP(I42,'Banco de Dados'!V:W,2,FALSE),VLOOKUP(B42&amp;C42,'Banco de Dados'!$I:$M,5,FALSE)),"")</f>
        <v/>
      </c>
      <c r="I42" s="4"/>
      <c r="J42" s="4"/>
      <c r="K42" s="4"/>
      <c r="L42" s="4"/>
      <c r="M42" s="128" t="str">
        <f>IFERROR(VLOOKUP(B42&amp;C42,'Banco de Dados'!$I:$N,6,FALSE),"")</f>
        <v/>
      </c>
      <c r="N42" s="141" t="str">
        <f t="shared" si="1"/>
        <v/>
      </c>
    </row>
    <row r="43" spans="1:14" x14ac:dyDescent="0.25">
      <c r="A43" s="137" t="str">
        <f t="shared" si="0"/>
        <v/>
      </c>
      <c r="B43" s="4"/>
      <c r="C43" s="4"/>
      <c r="D43" s="4"/>
      <c r="E43" s="137" t="str">
        <f>IFERROR(VLOOKUP(B43&amp;C43,'Banco de Dados'!$I:$L,4,FALSE),"")</f>
        <v/>
      </c>
      <c r="F43" s="137" t="str">
        <f>IFERROR(VLOOKUP(B43&amp;C43,'Banco de Dados'!$I:$L,3,FALSE),"")</f>
        <v/>
      </c>
      <c r="G43" s="125"/>
      <c r="H43" s="139" t="str">
        <f ca="1">IFERROR(DATE(YEAR(NOW()),VLOOKUP(I43,'Banco de Dados'!V:W,2,FALSE),VLOOKUP(B43&amp;C43,'Banco de Dados'!$I:$M,5,FALSE)),"")</f>
        <v/>
      </c>
      <c r="I43" s="4"/>
      <c r="J43" s="4"/>
      <c r="K43" s="4"/>
      <c r="L43" s="4"/>
      <c r="M43" s="128" t="str">
        <f>IFERROR(VLOOKUP(B43&amp;C43,'Banco de Dados'!$I:$N,6,FALSE),"")</f>
        <v/>
      </c>
      <c r="N43" s="141" t="str">
        <f t="shared" si="1"/>
        <v/>
      </c>
    </row>
    <row r="44" spans="1:14" x14ac:dyDescent="0.25">
      <c r="A44" s="137" t="str">
        <f t="shared" si="0"/>
        <v/>
      </c>
      <c r="B44" s="4"/>
      <c r="C44" s="4"/>
      <c r="D44" s="4"/>
      <c r="E44" s="137" t="str">
        <f>IFERROR(VLOOKUP(B44&amp;C44,'Banco de Dados'!$I:$L,4,FALSE),"")</f>
        <v/>
      </c>
      <c r="F44" s="137" t="str">
        <f>IFERROR(VLOOKUP(B44&amp;C44,'Banco de Dados'!$I:$L,3,FALSE),"")</f>
        <v/>
      </c>
      <c r="G44" s="125"/>
      <c r="H44" s="139" t="str">
        <f ca="1">IFERROR(DATE(YEAR(NOW()),VLOOKUP(I44,'Banco de Dados'!V:W,2,FALSE),VLOOKUP(B44&amp;C44,'Banco de Dados'!$I:$M,5,FALSE)),"")</f>
        <v/>
      </c>
      <c r="I44" s="4"/>
      <c r="J44" s="4"/>
      <c r="K44" s="4"/>
      <c r="L44" s="4"/>
      <c r="M44" s="128" t="str">
        <f>IFERROR(VLOOKUP(B44&amp;C44,'Banco de Dados'!$I:$N,6,FALSE),"")</f>
        <v/>
      </c>
      <c r="N44" s="141" t="str">
        <f t="shared" si="1"/>
        <v/>
      </c>
    </row>
    <row r="45" spans="1:14" x14ac:dyDescent="0.25">
      <c r="A45" s="137" t="str">
        <f t="shared" si="0"/>
        <v/>
      </c>
      <c r="B45" s="4"/>
      <c r="C45" s="4"/>
      <c r="D45" s="4"/>
      <c r="E45" s="137" t="str">
        <f>IFERROR(VLOOKUP(B45&amp;C45,'Banco de Dados'!$I:$L,4,FALSE),"")</f>
        <v/>
      </c>
      <c r="F45" s="137" t="str">
        <f>IFERROR(VLOOKUP(B45&amp;C45,'Banco de Dados'!$I:$L,3,FALSE),"")</f>
        <v/>
      </c>
      <c r="G45" s="125"/>
      <c r="H45" s="139" t="str">
        <f ca="1">IFERROR(DATE(YEAR(NOW()),VLOOKUP(I45,'Banco de Dados'!V:W,2,FALSE),VLOOKUP(B45&amp;C45,'Banco de Dados'!$I:$M,5,FALSE)),"")</f>
        <v/>
      </c>
      <c r="I45" s="4"/>
      <c r="J45" s="4"/>
      <c r="K45" s="4"/>
      <c r="L45" s="4"/>
      <c r="M45" s="128" t="str">
        <f>IFERROR(VLOOKUP(B45&amp;C45,'Banco de Dados'!$I:$N,6,FALSE),"")</f>
        <v/>
      </c>
      <c r="N45" s="141" t="str">
        <f t="shared" si="1"/>
        <v/>
      </c>
    </row>
    <row r="46" spans="1:14" x14ac:dyDescent="0.25">
      <c r="A46" s="137" t="str">
        <f t="shared" si="0"/>
        <v/>
      </c>
      <c r="B46" s="4"/>
      <c r="C46" s="4"/>
      <c r="D46" s="4"/>
      <c r="E46" s="137" t="str">
        <f>IFERROR(VLOOKUP(B46&amp;C46,'Banco de Dados'!$I:$L,4,FALSE),"")</f>
        <v/>
      </c>
      <c r="F46" s="137" t="str">
        <f>IFERROR(VLOOKUP(B46&amp;C46,'Banco de Dados'!$I:$L,3,FALSE),"")</f>
        <v/>
      </c>
      <c r="G46" s="125"/>
      <c r="H46" s="139" t="str">
        <f ca="1">IFERROR(DATE(YEAR(NOW()),VLOOKUP(I46,'Banco de Dados'!V:W,2,FALSE),VLOOKUP(B46&amp;C46,'Banco de Dados'!$I:$M,5,FALSE)),"")</f>
        <v/>
      </c>
      <c r="I46" s="4"/>
      <c r="J46" s="4"/>
      <c r="K46" s="4"/>
      <c r="L46" s="4"/>
      <c r="M46" s="128" t="str">
        <f>IFERROR(VLOOKUP(B46&amp;C46,'Banco de Dados'!$I:$N,6,FALSE),"")</f>
        <v/>
      </c>
      <c r="N46" s="141" t="str">
        <f t="shared" si="1"/>
        <v/>
      </c>
    </row>
    <row r="47" spans="1:14" x14ac:dyDescent="0.25">
      <c r="A47" s="137" t="str">
        <f t="shared" si="0"/>
        <v/>
      </c>
      <c r="B47" s="4"/>
      <c r="C47" s="4"/>
      <c r="D47" s="4"/>
      <c r="E47" s="137" t="str">
        <f>IFERROR(VLOOKUP(B47&amp;C47,'Banco de Dados'!$I:$L,4,FALSE),"")</f>
        <v/>
      </c>
      <c r="F47" s="137" t="str">
        <f>IFERROR(VLOOKUP(B47&amp;C47,'Banco de Dados'!$I:$L,3,FALSE),"")</f>
        <v/>
      </c>
      <c r="G47" s="125"/>
      <c r="H47" s="139" t="str">
        <f ca="1">IFERROR(DATE(YEAR(NOW()),VLOOKUP(I47,'Banco de Dados'!V:W,2,FALSE),VLOOKUP(B47&amp;C47,'Banco de Dados'!$I:$M,5,FALSE)),"")</f>
        <v/>
      </c>
      <c r="I47" s="4"/>
      <c r="J47" s="4"/>
      <c r="K47" s="4"/>
      <c r="L47" s="4"/>
      <c r="M47" s="128" t="str">
        <f>IFERROR(VLOOKUP(B47&amp;C47,'Banco de Dados'!$I:$N,6,FALSE),"")</f>
        <v/>
      </c>
      <c r="N47" s="141" t="str">
        <f t="shared" si="1"/>
        <v/>
      </c>
    </row>
    <row r="48" spans="1:14" x14ac:dyDescent="0.25">
      <c r="A48" s="137" t="str">
        <f t="shared" si="0"/>
        <v/>
      </c>
      <c r="B48" s="4"/>
      <c r="C48" s="4"/>
      <c r="D48" s="4"/>
      <c r="E48" s="137" t="str">
        <f>IFERROR(VLOOKUP(B48&amp;C48,'Banco de Dados'!$I:$L,4,FALSE),"")</f>
        <v/>
      </c>
      <c r="F48" s="137" t="str">
        <f>IFERROR(VLOOKUP(B48&amp;C48,'Banco de Dados'!$I:$L,3,FALSE),"")</f>
        <v/>
      </c>
      <c r="G48" s="125"/>
      <c r="H48" s="139" t="str">
        <f ca="1">IFERROR(DATE(YEAR(NOW()),VLOOKUP(I48,'Banco de Dados'!V:W,2,FALSE),VLOOKUP(B48&amp;C48,'Banco de Dados'!$I:$M,5,FALSE)),"")</f>
        <v/>
      </c>
      <c r="I48" s="4"/>
      <c r="J48" s="4"/>
      <c r="K48" s="4"/>
      <c r="L48" s="4"/>
      <c r="M48" s="128" t="str">
        <f>IFERROR(VLOOKUP(B48&amp;C48,'Banco de Dados'!$I:$N,6,FALSE),"")</f>
        <v/>
      </c>
      <c r="N48" s="141" t="str">
        <f t="shared" si="1"/>
        <v/>
      </c>
    </row>
    <row r="49" spans="1:14" x14ac:dyDescent="0.25">
      <c r="A49" s="137" t="str">
        <f t="shared" si="0"/>
        <v/>
      </c>
      <c r="B49" s="4"/>
      <c r="C49" s="4"/>
      <c r="D49" s="4"/>
      <c r="E49" s="137" t="str">
        <f>IFERROR(VLOOKUP(B49&amp;C49,'Banco de Dados'!$I:$L,4,FALSE),"")</f>
        <v/>
      </c>
      <c r="F49" s="137" t="str">
        <f>IFERROR(VLOOKUP(B49&amp;C49,'Banco de Dados'!$I:$L,3,FALSE),"")</f>
        <v/>
      </c>
      <c r="G49" s="125"/>
      <c r="H49" s="139" t="str">
        <f ca="1">IFERROR(DATE(YEAR(NOW()),VLOOKUP(I49,'Banco de Dados'!V:W,2,FALSE),VLOOKUP(B49&amp;C49,'Banco de Dados'!$I:$M,5,FALSE)),"")</f>
        <v/>
      </c>
      <c r="I49" s="4"/>
      <c r="J49" s="4"/>
      <c r="K49" s="4"/>
      <c r="L49" s="4"/>
      <c r="M49" s="128" t="str">
        <f>IFERROR(VLOOKUP(B49&amp;C49,'Banco de Dados'!$I:$N,6,FALSE),"")</f>
        <v/>
      </c>
      <c r="N49" s="141" t="str">
        <f t="shared" si="1"/>
        <v/>
      </c>
    </row>
    <row r="50" spans="1:14" x14ac:dyDescent="0.25">
      <c r="A50" s="137" t="str">
        <f t="shared" si="0"/>
        <v/>
      </c>
      <c r="B50" s="4"/>
      <c r="C50" s="4"/>
      <c r="D50" s="4"/>
      <c r="E50" s="137" t="str">
        <f>IFERROR(VLOOKUP(B50&amp;C50,'Banco de Dados'!$I:$L,4,FALSE),"")</f>
        <v/>
      </c>
      <c r="F50" s="137" t="str">
        <f>IFERROR(VLOOKUP(B50&amp;C50,'Banco de Dados'!$I:$L,3,FALSE),"")</f>
        <v/>
      </c>
      <c r="G50" s="125"/>
      <c r="H50" s="139" t="str">
        <f ca="1">IFERROR(DATE(YEAR(NOW()),VLOOKUP(I50,'Banco de Dados'!V:W,2,FALSE),VLOOKUP(B50&amp;C50,'Banco de Dados'!$I:$M,5,FALSE)),"")</f>
        <v/>
      </c>
      <c r="I50" s="4"/>
      <c r="J50" s="4"/>
      <c r="K50" s="4"/>
      <c r="L50" s="4"/>
      <c r="M50" s="128" t="str">
        <f>IFERROR(VLOOKUP(B50&amp;C50,'Banco de Dados'!$I:$N,6,FALSE),"")</f>
        <v/>
      </c>
      <c r="N50" s="141" t="str">
        <f t="shared" si="1"/>
        <v/>
      </c>
    </row>
    <row r="51" spans="1:14" x14ac:dyDescent="0.25">
      <c r="A51" s="137" t="str">
        <f t="shared" si="0"/>
        <v/>
      </c>
      <c r="B51" s="4"/>
      <c r="C51" s="4"/>
      <c r="D51" s="4"/>
      <c r="E51" s="137" t="str">
        <f>IFERROR(VLOOKUP(B51&amp;C51,'Banco de Dados'!$I:$L,4,FALSE),"")</f>
        <v/>
      </c>
      <c r="F51" s="137" t="str">
        <f>IFERROR(VLOOKUP(B51&amp;C51,'Banco de Dados'!$I:$L,3,FALSE),"")</f>
        <v/>
      </c>
      <c r="G51" s="125"/>
      <c r="H51" s="139" t="str">
        <f ca="1">IFERROR(DATE(YEAR(NOW()),VLOOKUP(I51,'Banco de Dados'!V:W,2,FALSE),VLOOKUP(B51&amp;C51,'Banco de Dados'!$I:$M,5,FALSE)),"")</f>
        <v/>
      </c>
      <c r="I51" s="4"/>
      <c r="J51" s="4"/>
      <c r="K51" s="4"/>
      <c r="L51" s="4"/>
      <c r="M51" s="128" t="str">
        <f>IFERROR(VLOOKUP(B51&amp;C51,'Banco de Dados'!$I:$N,6,FALSE),"")</f>
        <v/>
      </c>
      <c r="N51" s="141" t="str">
        <f t="shared" si="1"/>
        <v/>
      </c>
    </row>
    <row r="52" spans="1:14" x14ac:dyDescent="0.25">
      <c r="A52" s="137" t="str">
        <f t="shared" si="0"/>
        <v/>
      </c>
      <c r="B52" s="4"/>
      <c r="C52" s="4"/>
      <c r="D52" s="4"/>
      <c r="E52" s="137" t="str">
        <f>IFERROR(VLOOKUP(B52&amp;C52,'Banco de Dados'!$I:$L,4,FALSE),"")</f>
        <v/>
      </c>
      <c r="F52" s="137" t="str">
        <f>IFERROR(VLOOKUP(B52&amp;C52,'Banco de Dados'!$I:$L,3,FALSE),"")</f>
        <v/>
      </c>
      <c r="G52" s="125"/>
      <c r="H52" s="139" t="str">
        <f ca="1">IFERROR(DATE(YEAR(NOW()),VLOOKUP(I52,'Banco de Dados'!V:W,2,FALSE),VLOOKUP(B52&amp;C52,'Banco de Dados'!$I:$M,5,FALSE)),"")</f>
        <v/>
      </c>
      <c r="I52" s="4"/>
      <c r="J52" s="4"/>
      <c r="K52" s="4"/>
      <c r="L52" s="4"/>
      <c r="M52" s="128" t="str">
        <f>IFERROR(VLOOKUP(B52&amp;C52,'Banco de Dados'!$I:$N,6,FALSE),"")</f>
        <v/>
      </c>
      <c r="N52" s="141" t="str">
        <f t="shared" si="1"/>
        <v/>
      </c>
    </row>
    <row r="53" spans="1:14" x14ac:dyDescent="0.25">
      <c r="A53" s="137" t="str">
        <f t="shared" si="0"/>
        <v/>
      </c>
      <c r="B53" s="4"/>
      <c r="C53" s="4"/>
      <c r="D53" s="4"/>
      <c r="E53" s="137" t="str">
        <f>IFERROR(VLOOKUP(B53&amp;C53,'Banco de Dados'!$I:$L,4,FALSE),"")</f>
        <v/>
      </c>
      <c r="F53" s="137" t="str">
        <f>IFERROR(VLOOKUP(B53&amp;C53,'Banco de Dados'!$I:$L,3,FALSE),"")</f>
        <v/>
      </c>
      <c r="G53" s="125"/>
      <c r="H53" s="139" t="str">
        <f ca="1">IFERROR(DATE(YEAR(NOW()),VLOOKUP(I53,'Banco de Dados'!V:W,2,FALSE),VLOOKUP(B53&amp;C53,'Banco de Dados'!$I:$M,5,FALSE)),"")</f>
        <v/>
      </c>
      <c r="I53" s="4"/>
      <c r="J53" s="4"/>
      <c r="K53" s="4"/>
      <c r="L53" s="4"/>
      <c r="M53" s="128" t="str">
        <f>IFERROR(VLOOKUP(B53&amp;C53,'Banco de Dados'!$I:$N,6,FALSE),"")</f>
        <v/>
      </c>
      <c r="N53" s="141" t="str">
        <f t="shared" si="1"/>
        <v/>
      </c>
    </row>
    <row r="54" spans="1:14" x14ac:dyDescent="0.25">
      <c r="A54" s="137" t="str">
        <f t="shared" si="0"/>
        <v/>
      </c>
      <c r="B54" s="4"/>
      <c r="C54" s="4"/>
      <c r="D54" s="4"/>
      <c r="E54" s="137" t="str">
        <f>IFERROR(VLOOKUP(B54&amp;C54,'Banco de Dados'!$I:$L,4,FALSE),"")</f>
        <v/>
      </c>
      <c r="F54" s="137" t="str">
        <f>IFERROR(VLOOKUP(B54&amp;C54,'Banco de Dados'!$I:$L,3,FALSE),"")</f>
        <v/>
      </c>
      <c r="G54" s="125"/>
      <c r="H54" s="139" t="str">
        <f ca="1">IFERROR(DATE(YEAR(NOW()),VLOOKUP(I54,'Banco de Dados'!V:W,2,FALSE),VLOOKUP(B54&amp;C54,'Banco de Dados'!$I:$M,5,FALSE)),"")</f>
        <v/>
      </c>
      <c r="I54" s="4"/>
      <c r="J54" s="4"/>
      <c r="K54" s="4"/>
      <c r="L54" s="4"/>
      <c r="M54" s="128" t="str">
        <f>IFERROR(VLOOKUP(B54&amp;C54,'Banco de Dados'!$I:$N,6,FALSE),"")</f>
        <v/>
      </c>
      <c r="N54" s="141" t="str">
        <f t="shared" si="1"/>
        <v/>
      </c>
    </row>
    <row r="55" spans="1:14" x14ac:dyDescent="0.25">
      <c r="A55" s="137" t="str">
        <f t="shared" si="0"/>
        <v/>
      </c>
      <c r="B55" s="4"/>
      <c r="C55" s="4"/>
      <c r="D55" s="4"/>
      <c r="E55" s="137" t="str">
        <f>IFERROR(VLOOKUP(B55&amp;C55,'Banco de Dados'!$I:$L,4,FALSE),"")</f>
        <v/>
      </c>
      <c r="F55" s="137" t="str">
        <f>IFERROR(VLOOKUP(B55&amp;C55,'Banco de Dados'!$I:$L,3,FALSE),"")</f>
        <v/>
      </c>
      <c r="G55" s="125"/>
      <c r="H55" s="139" t="str">
        <f ca="1">IFERROR(DATE(YEAR(NOW()),VLOOKUP(I55,'Banco de Dados'!V:W,2,FALSE),VLOOKUP(B55&amp;C55,'Banco de Dados'!$I:$M,5,FALSE)),"")</f>
        <v/>
      </c>
      <c r="I55" s="4"/>
      <c r="J55" s="4"/>
      <c r="K55" s="4"/>
      <c r="L55" s="4"/>
      <c r="M55" s="128" t="str">
        <f>IFERROR(VLOOKUP(B55&amp;C55,'Banco de Dados'!$I:$N,6,FALSE),"")</f>
        <v/>
      </c>
      <c r="N55" s="141" t="str">
        <f t="shared" si="1"/>
        <v/>
      </c>
    </row>
    <row r="56" spans="1:14" x14ac:dyDescent="0.25">
      <c r="A56" s="137" t="str">
        <f t="shared" si="0"/>
        <v/>
      </c>
      <c r="B56" s="4"/>
      <c r="C56" s="4"/>
      <c r="D56" s="4"/>
      <c r="E56" s="137" t="str">
        <f>IFERROR(VLOOKUP(B56&amp;C56,'Banco de Dados'!$I:$L,4,FALSE),"")</f>
        <v/>
      </c>
      <c r="F56" s="137" t="str">
        <f>IFERROR(VLOOKUP(B56&amp;C56,'Banco de Dados'!$I:$L,3,FALSE),"")</f>
        <v/>
      </c>
      <c r="G56" s="125"/>
      <c r="H56" s="139" t="str">
        <f ca="1">IFERROR(DATE(YEAR(NOW()),VLOOKUP(I56,'Banco de Dados'!V:W,2,FALSE),VLOOKUP(B56&amp;C56,'Banco de Dados'!$I:$M,5,FALSE)),"")</f>
        <v/>
      </c>
      <c r="I56" s="4"/>
      <c r="J56" s="4"/>
      <c r="K56" s="4"/>
      <c r="L56" s="4"/>
      <c r="M56" s="128" t="str">
        <f>IFERROR(VLOOKUP(B56&amp;C56,'Banco de Dados'!$I:$N,6,FALSE),"")</f>
        <v/>
      </c>
      <c r="N56" s="141" t="str">
        <f t="shared" si="1"/>
        <v/>
      </c>
    </row>
    <row r="57" spans="1:14" x14ac:dyDescent="0.25">
      <c r="A57" s="137" t="str">
        <f t="shared" si="0"/>
        <v/>
      </c>
      <c r="B57" s="4"/>
      <c r="C57" s="4"/>
      <c r="D57" s="4"/>
      <c r="E57" s="137" t="str">
        <f>IFERROR(VLOOKUP(B57&amp;C57,'Banco de Dados'!$I:$L,4,FALSE),"")</f>
        <v/>
      </c>
      <c r="F57" s="137" t="str">
        <f>IFERROR(VLOOKUP(B57&amp;C57,'Banco de Dados'!$I:$L,3,FALSE),"")</f>
        <v/>
      </c>
      <c r="G57" s="125"/>
      <c r="H57" s="139" t="str">
        <f ca="1">IFERROR(DATE(YEAR(NOW()),VLOOKUP(I57,'Banco de Dados'!V:W,2,FALSE),VLOOKUP(B57&amp;C57,'Banco de Dados'!$I:$M,5,FALSE)),"")</f>
        <v/>
      </c>
      <c r="I57" s="4"/>
      <c r="J57" s="4"/>
      <c r="K57" s="4"/>
      <c r="L57" s="4"/>
      <c r="M57" s="128" t="str">
        <f>IFERROR(VLOOKUP(B57&amp;C57,'Banco de Dados'!$I:$N,6,FALSE),"")</f>
        <v/>
      </c>
      <c r="N57" s="141" t="str">
        <f t="shared" si="1"/>
        <v/>
      </c>
    </row>
    <row r="58" spans="1:14" x14ac:dyDescent="0.25">
      <c r="A58" s="137" t="str">
        <f t="shared" si="0"/>
        <v/>
      </c>
      <c r="B58" s="4"/>
      <c r="C58" s="4"/>
      <c r="D58" s="4"/>
      <c r="E58" s="137" t="str">
        <f>IFERROR(VLOOKUP(B58&amp;C58,'Banco de Dados'!$I:$L,4,FALSE),"")</f>
        <v/>
      </c>
      <c r="F58" s="137" t="str">
        <f>IFERROR(VLOOKUP(B58&amp;C58,'Banco de Dados'!$I:$L,3,FALSE),"")</f>
        <v/>
      </c>
      <c r="G58" s="125"/>
      <c r="H58" s="139" t="str">
        <f ca="1">IFERROR(DATE(YEAR(NOW()),VLOOKUP(I58,'Banco de Dados'!V:W,2,FALSE),VLOOKUP(B58&amp;C58,'Banco de Dados'!$I:$M,5,FALSE)),"")</f>
        <v/>
      </c>
      <c r="I58" s="4"/>
      <c r="J58" s="4"/>
      <c r="K58" s="4"/>
      <c r="L58" s="4"/>
      <c r="M58" s="128" t="str">
        <f>IFERROR(VLOOKUP(B58&amp;C58,'Banco de Dados'!$I:$N,6,FALSE),"")</f>
        <v/>
      </c>
      <c r="N58" s="141" t="str">
        <f t="shared" si="1"/>
        <v/>
      </c>
    </row>
    <row r="59" spans="1:14" x14ac:dyDescent="0.25">
      <c r="A59" s="137" t="str">
        <f t="shared" si="0"/>
        <v/>
      </c>
      <c r="B59" s="4"/>
      <c r="C59" s="4"/>
      <c r="D59" s="4"/>
      <c r="E59" s="137" t="str">
        <f>IFERROR(VLOOKUP(B59&amp;C59,'Banco de Dados'!$I:$L,4,FALSE),"")</f>
        <v/>
      </c>
      <c r="F59" s="137" t="str">
        <f>IFERROR(VLOOKUP(B59&amp;C59,'Banco de Dados'!$I:$L,3,FALSE),"")</f>
        <v/>
      </c>
      <c r="G59" s="125"/>
      <c r="H59" s="139" t="str">
        <f ca="1">IFERROR(DATE(YEAR(NOW()),VLOOKUP(I59,'Banco de Dados'!V:W,2,FALSE),VLOOKUP(B59&amp;C59,'Banco de Dados'!$I:$M,5,FALSE)),"")</f>
        <v/>
      </c>
      <c r="I59" s="4"/>
      <c r="J59" s="4"/>
      <c r="K59" s="4"/>
      <c r="L59" s="4"/>
      <c r="M59" s="128" t="str">
        <f>IFERROR(VLOOKUP(B59&amp;C59,'Banco de Dados'!$I:$N,6,FALSE),"")</f>
        <v/>
      </c>
      <c r="N59" s="141" t="str">
        <f t="shared" si="1"/>
        <v/>
      </c>
    </row>
    <row r="60" spans="1:14" x14ac:dyDescent="0.25">
      <c r="A60" s="137" t="str">
        <f t="shared" si="0"/>
        <v/>
      </c>
      <c r="B60" s="4"/>
      <c r="C60" s="4"/>
      <c r="D60" s="4"/>
      <c r="E60" s="137" t="str">
        <f>IFERROR(VLOOKUP(B60&amp;C60,'Banco de Dados'!$I:$L,4,FALSE),"")</f>
        <v/>
      </c>
      <c r="F60" s="137" t="str">
        <f>IFERROR(VLOOKUP(B60&amp;C60,'Banco de Dados'!$I:$L,3,FALSE),"")</f>
        <v/>
      </c>
      <c r="G60" s="125"/>
      <c r="H60" s="139" t="str">
        <f ca="1">IFERROR(DATE(YEAR(NOW()),VLOOKUP(I60,'Banco de Dados'!V:W,2,FALSE),VLOOKUP(B60&amp;C60,'Banco de Dados'!$I:$M,5,FALSE)),"")</f>
        <v/>
      </c>
      <c r="I60" s="4"/>
      <c r="J60" s="4"/>
      <c r="K60" s="4"/>
      <c r="L60" s="4"/>
      <c r="M60" s="128" t="str">
        <f>IFERROR(VLOOKUP(B60&amp;C60,'Banco de Dados'!$I:$N,6,FALSE),"")</f>
        <v/>
      </c>
      <c r="N60" s="141" t="str">
        <f t="shared" si="1"/>
        <v/>
      </c>
    </row>
    <row r="61" spans="1:14" x14ac:dyDescent="0.25">
      <c r="A61" s="137" t="str">
        <f t="shared" si="0"/>
        <v/>
      </c>
      <c r="B61" s="4"/>
      <c r="C61" s="4"/>
      <c r="D61" s="4"/>
      <c r="E61" s="137" t="str">
        <f>IFERROR(VLOOKUP(B61&amp;C61,'Banco de Dados'!$I:$L,4,FALSE),"")</f>
        <v/>
      </c>
      <c r="F61" s="137" t="str">
        <f>IFERROR(VLOOKUP(B61&amp;C61,'Banco de Dados'!$I:$L,3,FALSE),"")</f>
        <v/>
      </c>
      <c r="G61" s="125"/>
      <c r="H61" s="139" t="str">
        <f ca="1">IFERROR(DATE(YEAR(NOW()),VLOOKUP(I61,'Banco de Dados'!V:W,2,FALSE),VLOOKUP(B61&amp;C61,'Banco de Dados'!$I:$M,5,FALSE)),"")</f>
        <v/>
      </c>
      <c r="I61" s="4"/>
      <c r="J61" s="4"/>
      <c r="K61" s="4"/>
      <c r="L61" s="4"/>
      <c r="M61" s="128" t="str">
        <f>IFERROR(VLOOKUP(B61&amp;C61,'Banco de Dados'!$I:$N,6,FALSE),"")</f>
        <v/>
      </c>
      <c r="N61" s="141" t="str">
        <f t="shared" si="1"/>
        <v/>
      </c>
    </row>
    <row r="62" spans="1:14" x14ac:dyDescent="0.25">
      <c r="A62" s="137" t="str">
        <f t="shared" si="0"/>
        <v/>
      </c>
      <c r="B62" s="4"/>
      <c r="C62" s="4"/>
      <c r="D62" s="4"/>
      <c r="E62" s="137" t="str">
        <f>IFERROR(VLOOKUP(B62&amp;C62,'Banco de Dados'!$I:$L,4,FALSE),"")</f>
        <v/>
      </c>
      <c r="F62" s="137" t="str">
        <f>IFERROR(VLOOKUP(B62&amp;C62,'Banco de Dados'!$I:$L,3,FALSE),"")</f>
        <v/>
      </c>
      <c r="G62" s="125"/>
      <c r="H62" s="139" t="str">
        <f ca="1">IFERROR(DATE(YEAR(NOW()),VLOOKUP(I62,'Banco de Dados'!V:W,2,FALSE),VLOOKUP(B62&amp;C62,'Banco de Dados'!$I:$M,5,FALSE)),"")</f>
        <v/>
      </c>
      <c r="I62" s="4"/>
      <c r="J62" s="4"/>
      <c r="K62" s="4"/>
      <c r="L62" s="4"/>
      <c r="M62" s="128" t="str">
        <f>IFERROR(VLOOKUP(B62&amp;C62,'Banco de Dados'!$I:$N,6,FALSE),"")</f>
        <v/>
      </c>
      <c r="N62" s="141" t="str">
        <f t="shared" si="1"/>
        <v/>
      </c>
    </row>
    <row r="63" spans="1:14" x14ac:dyDescent="0.25">
      <c r="A63" s="137" t="str">
        <f t="shared" si="0"/>
        <v/>
      </c>
      <c r="B63" s="4"/>
      <c r="C63" s="4"/>
      <c r="D63" s="4"/>
      <c r="E63" s="137" t="str">
        <f>IFERROR(VLOOKUP(B63&amp;C63,'Banco de Dados'!$I:$L,4,FALSE),"")</f>
        <v/>
      </c>
      <c r="F63" s="137" t="str">
        <f>IFERROR(VLOOKUP(B63&amp;C63,'Banco de Dados'!$I:$L,3,FALSE),"")</f>
        <v/>
      </c>
      <c r="G63" s="125"/>
      <c r="H63" s="139" t="str">
        <f ca="1">IFERROR(DATE(YEAR(NOW()),VLOOKUP(I63,'Banco de Dados'!V:W,2,FALSE),VLOOKUP(B63&amp;C63,'Banco de Dados'!$I:$M,5,FALSE)),"")</f>
        <v/>
      </c>
      <c r="I63" s="4"/>
      <c r="J63" s="4"/>
      <c r="K63" s="4"/>
      <c r="L63" s="4"/>
      <c r="M63" s="128" t="str">
        <f>IFERROR(VLOOKUP(B63&amp;C63,'Banco de Dados'!$I:$N,6,FALSE),"")</f>
        <v/>
      </c>
      <c r="N63" s="141" t="str">
        <f t="shared" si="1"/>
        <v/>
      </c>
    </row>
    <row r="64" spans="1:14" x14ac:dyDescent="0.25">
      <c r="A64" s="137" t="str">
        <f t="shared" si="0"/>
        <v/>
      </c>
      <c r="B64" s="4"/>
      <c r="C64" s="4"/>
      <c r="D64" s="4"/>
      <c r="E64" s="137" t="str">
        <f>IFERROR(VLOOKUP(B64&amp;C64,'Banco de Dados'!$I:$L,4,FALSE),"")</f>
        <v/>
      </c>
      <c r="F64" s="137" t="str">
        <f>IFERROR(VLOOKUP(B64&amp;C64,'Banco de Dados'!$I:$L,3,FALSE),"")</f>
        <v/>
      </c>
      <c r="G64" s="125"/>
      <c r="H64" s="139" t="str">
        <f ca="1">IFERROR(DATE(YEAR(NOW()),VLOOKUP(I64,'Banco de Dados'!V:W,2,FALSE),VLOOKUP(B64&amp;C64,'Banco de Dados'!$I:$M,5,FALSE)),"")</f>
        <v/>
      </c>
      <c r="I64" s="4"/>
      <c r="J64" s="4"/>
      <c r="K64" s="4"/>
      <c r="L64" s="4"/>
      <c r="M64" s="128" t="str">
        <f>IFERROR(VLOOKUP(B64&amp;C64,'Banco de Dados'!$I:$N,6,FALSE),"")</f>
        <v/>
      </c>
      <c r="N64" s="141" t="str">
        <f t="shared" si="1"/>
        <v/>
      </c>
    </row>
    <row r="65" spans="1:14" x14ac:dyDescent="0.25">
      <c r="A65" s="137" t="str">
        <f t="shared" si="0"/>
        <v/>
      </c>
      <c r="B65" s="4"/>
      <c r="C65" s="4"/>
      <c r="D65" s="4"/>
      <c r="E65" s="137" t="str">
        <f>IFERROR(VLOOKUP(B65&amp;C65,'Banco de Dados'!$I:$L,4,FALSE),"")</f>
        <v/>
      </c>
      <c r="F65" s="137" t="str">
        <f>IFERROR(VLOOKUP(B65&amp;C65,'Banco de Dados'!$I:$L,3,FALSE),"")</f>
        <v/>
      </c>
      <c r="G65" s="125"/>
      <c r="H65" s="139" t="str">
        <f ca="1">IFERROR(DATE(YEAR(NOW()),VLOOKUP(I65,'Banco de Dados'!V:W,2,FALSE),VLOOKUP(B65&amp;C65,'Banco de Dados'!$I:$M,5,FALSE)),"")</f>
        <v/>
      </c>
      <c r="I65" s="4"/>
      <c r="J65" s="4"/>
      <c r="K65" s="4"/>
      <c r="L65" s="4"/>
      <c r="M65" s="128" t="str">
        <f>IFERROR(VLOOKUP(B65&amp;C65,'Banco de Dados'!$I:$N,6,FALSE),"")</f>
        <v/>
      </c>
      <c r="N65" s="141" t="str">
        <f t="shared" si="1"/>
        <v/>
      </c>
    </row>
    <row r="66" spans="1:14" x14ac:dyDescent="0.25">
      <c r="A66" s="137" t="str">
        <f t="shared" si="0"/>
        <v/>
      </c>
      <c r="B66" s="4"/>
      <c r="C66" s="4"/>
      <c r="D66" s="4"/>
      <c r="E66" s="137" t="str">
        <f>IFERROR(VLOOKUP(B66&amp;C66,'Banco de Dados'!$I:$L,4,FALSE),"")</f>
        <v/>
      </c>
      <c r="F66" s="137" t="str">
        <f>IFERROR(VLOOKUP(B66&amp;C66,'Banco de Dados'!$I:$L,3,FALSE),"")</f>
        <v/>
      </c>
      <c r="G66" s="125"/>
      <c r="H66" s="139" t="str">
        <f ca="1">IFERROR(DATE(YEAR(NOW()),VLOOKUP(I66,'Banco de Dados'!V:W,2,FALSE),VLOOKUP(B66&amp;C66,'Banco de Dados'!$I:$M,5,FALSE)),"")</f>
        <v/>
      </c>
      <c r="I66" s="4"/>
      <c r="J66" s="4"/>
      <c r="K66" s="4"/>
      <c r="L66" s="4"/>
      <c r="M66" s="128" t="str">
        <f>IFERROR(VLOOKUP(B66&amp;C66,'Banco de Dados'!$I:$N,6,FALSE),"")</f>
        <v/>
      </c>
      <c r="N66" s="141" t="str">
        <f t="shared" si="1"/>
        <v/>
      </c>
    </row>
    <row r="67" spans="1:14" x14ac:dyDescent="0.25">
      <c r="A67" s="137" t="str">
        <f t="shared" si="0"/>
        <v/>
      </c>
      <c r="B67" s="4"/>
      <c r="C67" s="4"/>
      <c r="D67" s="4"/>
      <c r="E67" s="137" t="str">
        <f>IFERROR(VLOOKUP(B67&amp;C67,'Banco de Dados'!$I:$L,4,FALSE),"")</f>
        <v/>
      </c>
      <c r="F67" s="137" t="str">
        <f>IFERROR(VLOOKUP(B67&amp;C67,'Banco de Dados'!$I:$L,3,FALSE),"")</f>
        <v/>
      </c>
      <c r="G67" s="125"/>
      <c r="H67" s="139" t="str">
        <f ca="1">IFERROR(DATE(YEAR(NOW()),VLOOKUP(I67,'Banco de Dados'!V:W,2,FALSE),VLOOKUP(B67&amp;C67,'Banco de Dados'!$I:$M,5,FALSE)),"")</f>
        <v/>
      </c>
      <c r="I67" s="4"/>
      <c r="J67" s="4"/>
      <c r="K67" s="4"/>
      <c r="L67" s="4"/>
      <c r="M67" s="128" t="str">
        <f>IFERROR(VLOOKUP(B67&amp;C67,'Banco de Dados'!$I:$N,6,FALSE),"")</f>
        <v/>
      </c>
      <c r="N67" s="141" t="str">
        <f t="shared" si="1"/>
        <v/>
      </c>
    </row>
    <row r="68" spans="1:14" x14ac:dyDescent="0.25">
      <c r="A68" s="137" t="str">
        <f t="shared" ref="A68:A131" si="2">IF(I68="","",IF(I68=I67,A67+1,1))</f>
        <v/>
      </c>
      <c r="B68" s="4"/>
      <c r="C68" s="4"/>
      <c r="D68" s="4"/>
      <c r="E68" s="137" t="str">
        <f>IFERROR(VLOOKUP(B68&amp;C68,'Banco de Dados'!$I:$L,4,FALSE),"")</f>
        <v/>
      </c>
      <c r="F68" s="137" t="str">
        <f>IFERROR(VLOOKUP(B68&amp;C68,'Banco de Dados'!$I:$L,3,FALSE),"")</f>
        <v/>
      </c>
      <c r="G68" s="125"/>
      <c r="H68" s="139" t="str">
        <f ca="1">IFERROR(DATE(YEAR(NOW()),VLOOKUP(I68,'Banco de Dados'!V:W,2,FALSE),VLOOKUP(B68&amp;C68,'Banco de Dados'!$I:$M,5,FALSE)),"")</f>
        <v/>
      </c>
      <c r="I68" s="4"/>
      <c r="J68" s="4"/>
      <c r="K68" s="4"/>
      <c r="L68" s="4"/>
      <c r="M68" s="128" t="str">
        <f>IFERROR(VLOOKUP(B68&amp;C68,'Banco de Dados'!$I:$N,6,FALSE),"")</f>
        <v/>
      </c>
      <c r="N68" s="141" t="str">
        <f t="shared" si="1"/>
        <v/>
      </c>
    </row>
    <row r="69" spans="1:14" x14ac:dyDescent="0.25">
      <c r="A69" s="137" t="str">
        <f t="shared" si="2"/>
        <v/>
      </c>
      <c r="B69" s="4"/>
      <c r="C69" s="4"/>
      <c r="D69" s="4"/>
      <c r="E69" s="137" t="str">
        <f>IFERROR(VLOOKUP(B69&amp;C69,'Banco de Dados'!$I:$L,4,FALSE),"")</f>
        <v/>
      </c>
      <c r="F69" s="137" t="str">
        <f>IFERROR(VLOOKUP(B69&amp;C69,'Banco de Dados'!$I:$L,3,FALSE),"")</f>
        <v/>
      </c>
      <c r="G69" s="125"/>
      <c r="H69" s="139" t="str">
        <f ca="1">IFERROR(DATE(YEAR(NOW()),VLOOKUP(I69,'Banco de Dados'!V:W,2,FALSE),VLOOKUP(B69&amp;C69,'Banco de Dados'!$I:$M,5,FALSE)),"")</f>
        <v/>
      </c>
      <c r="I69" s="4"/>
      <c r="J69" s="4"/>
      <c r="K69" s="4"/>
      <c r="L69" s="4"/>
      <c r="M69" s="128" t="str">
        <f>IFERROR(VLOOKUP(B69&amp;C69,'Banco de Dados'!$I:$N,6,FALSE),"")</f>
        <v/>
      </c>
      <c r="N69" s="141" t="str">
        <f t="shared" ref="N69:N132" si="3">IFERROR((G69-M69)/ABS(G69),"")</f>
        <v/>
      </c>
    </row>
    <row r="70" spans="1:14" x14ac:dyDescent="0.25">
      <c r="A70" s="137" t="str">
        <f t="shared" si="2"/>
        <v/>
      </c>
      <c r="B70" s="4"/>
      <c r="C70" s="4"/>
      <c r="D70" s="4"/>
      <c r="E70" s="137" t="str">
        <f>IFERROR(VLOOKUP(B70&amp;C70,'Banco de Dados'!$I:$L,4,FALSE),"")</f>
        <v/>
      </c>
      <c r="F70" s="137" t="str">
        <f>IFERROR(VLOOKUP(B70&amp;C70,'Banco de Dados'!$I:$L,3,FALSE),"")</f>
        <v/>
      </c>
      <c r="G70" s="125"/>
      <c r="H70" s="139" t="str">
        <f ca="1">IFERROR(DATE(YEAR(NOW()),VLOOKUP(I70,'Banco de Dados'!V:W,2,FALSE),VLOOKUP(B70&amp;C70,'Banco de Dados'!$I:$M,5,FALSE)),"")</f>
        <v/>
      </c>
      <c r="I70" s="4"/>
      <c r="J70" s="4"/>
      <c r="K70" s="4"/>
      <c r="L70" s="4"/>
      <c r="M70" s="128" t="str">
        <f>IFERROR(VLOOKUP(B70&amp;C70,'Banco de Dados'!$I:$N,6,FALSE),"")</f>
        <v/>
      </c>
      <c r="N70" s="141" t="str">
        <f t="shared" si="3"/>
        <v/>
      </c>
    </row>
    <row r="71" spans="1:14" x14ac:dyDescent="0.25">
      <c r="A71" s="137" t="str">
        <f t="shared" si="2"/>
        <v/>
      </c>
      <c r="B71" s="4"/>
      <c r="C71" s="4"/>
      <c r="D71" s="4"/>
      <c r="E71" s="137" t="str">
        <f>IFERROR(VLOOKUP(B71&amp;C71,'Banco de Dados'!$I:$L,4,FALSE),"")</f>
        <v/>
      </c>
      <c r="F71" s="137" t="str">
        <f>IFERROR(VLOOKUP(B71&amp;C71,'Banco de Dados'!$I:$L,3,FALSE),"")</f>
        <v/>
      </c>
      <c r="G71" s="125"/>
      <c r="H71" s="139" t="str">
        <f ca="1">IFERROR(DATE(YEAR(NOW()),VLOOKUP(I71,'Banco de Dados'!V:W,2,FALSE),VLOOKUP(B71&amp;C71,'Banco de Dados'!$I:$M,5,FALSE)),"")</f>
        <v/>
      </c>
      <c r="I71" s="4"/>
      <c r="J71" s="4"/>
      <c r="K71" s="4"/>
      <c r="L71" s="4"/>
      <c r="M71" s="128" t="str">
        <f>IFERROR(VLOOKUP(B71&amp;C71,'Banco de Dados'!$I:$N,6,FALSE),"")</f>
        <v/>
      </c>
      <c r="N71" s="141" t="str">
        <f t="shared" si="3"/>
        <v/>
      </c>
    </row>
    <row r="72" spans="1:14" x14ac:dyDescent="0.25">
      <c r="A72" s="137" t="str">
        <f t="shared" si="2"/>
        <v/>
      </c>
      <c r="B72" s="4"/>
      <c r="C72" s="4"/>
      <c r="D72" s="4"/>
      <c r="E72" s="137" t="str">
        <f>IFERROR(VLOOKUP(B72&amp;C72,'Banco de Dados'!$I:$L,4,FALSE),"")</f>
        <v/>
      </c>
      <c r="F72" s="137" t="str">
        <f>IFERROR(VLOOKUP(B72&amp;C72,'Banco de Dados'!$I:$L,3,FALSE),"")</f>
        <v/>
      </c>
      <c r="G72" s="125"/>
      <c r="H72" s="139" t="str">
        <f ca="1">IFERROR(DATE(YEAR(NOW()),VLOOKUP(I72,'Banco de Dados'!V:W,2,FALSE),VLOOKUP(B72&amp;C72,'Banco de Dados'!$I:$M,5,FALSE)),"")</f>
        <v/>
      </c>
      <c r="I72" s="4"/>
      <c r="J72" s="4"/>
      <c r="K72" s="4"/>
      <c r="L72" s="4"/>
      <c r="M72" s="128" t="str">
        <f>IFERROR(VLOOKUP(B72&amp;C72,'Banco de Dados'!$I:$N,6,FALSE),"")</f>
        <v/>
      </c>
      <c r="N72" s="141" t="str">
        <f t="shared" si="3"/>
        <v/>
      </c>
    </row>
    <row r="73" spans="1:14" x14ac:dyDescent="0.25">
      <c r="A73" s="137" t="str">
        <f t="shared" si="2"/>
        <v/>
      </c>
      <c r="B73" s="4"/>
      <c r="C73" s="4"/>
      <c r="D73" s="4"/>
      <c r="E73" s="137" t="str">
        <f>IFERROR(VLOOKUP(B73&amp;C73,'Banco de Dados'!$I:$L,4,FALSE),"")</f>
        <v/>
      </c>
      <c r="F73" s="137" t="str">
        <f>IFERROR(VLOOKUP(B73&amp;C73,'Banco de Dados'!$I:$L,3,FALSE),"")</f>
        <v/>
      </c>
      <c r="G73" s="125"/>
      <c r="H73" s="139" t="str">
        <f ca="1">IFERROR(DATE(YEAR(NOW()),VLOOKUP(I73,'Banco de Dados'!V:W,2,FALSE),VLOOKUP(B73&amp;C73,'Banco de Dados'!$I:$M,5,FALSE)),"")</f>
        <v/>
      </c>
      <c r="I73" s="4"/>
      <c r="J73" s="4"/>
      <c r="K73" s="4"/>
      <c r="L73" s="4"/>
      <c r="M73" s="128" t="str">
        <f>IFERROR(VLOOKUP(B73&amp;C73,'Banco de Dados'!$I:$N,6,FALSE),"")</f>
        <v/>
      </c>
      <c r="N73" s="141" t="str">
        <f t="shared" si="3"/>
        <v/>
      </c>
    </row>
    <row r="74" spans="1:14" x14ac:dyDescent="0.25">
      <c r="A74" s="137" t="str">
        <f t="shared" si="2"/>
        <v/>
      </c>
      <c r="B74" s="4"/>
      <c r="C74" s="4"/>
      <c r="D74" s="4"/>
      <c r="E74" s="137" t="str">
        <f>IFERROR(VLOOKUP(B74&amp;C74,'Banco de Dados'!$I:$L,4,FALSE),"")</f>
        <v/>
      </c>
      <c r="F74" s="137" t="str">
        <f>IFERROR(VLOOKUP(B74&amp;C74,'Banco de Dados'!$I:$L,3,FALSE),"")</f>
        <v/>
      </c>
      <c r="G74" s="125"/>
      <c r="H74" s="139" t="str">
        <f ca="1">IFERROR(DATE(YEAR(NOW()),VLOOKUP(I74,'Banco de Dados'!V:W,2,FALSE),VLOOKUP(B74&amp;C74,'Banco de Dados'!$I:$M,5,FALSE)),"")</f>
        <v/>
      </c>
      <c r="I74" s="4"/>
      <c r="J74" s="4"/>
      <c r="K74" s="4"/>
      <c r="L74" s="4"/>
      <c r="M74" s="128" t="str">
        <f>IFERROR(VLOOKUP(B74&amp;C74,'Banco de Dados'!$I:$N,6,FALSE),"")</f>
        <v/>
      </c>
      <c r="N74" s="141" t="str">
        <f t="shared" si="3"/>
        <v/>
      </c>
    </row>
    <row r="75" spans="1:14" x14ac:dyDescent="0.25">
      <c r="A75" s="137" t="str">
        <f t="shared" si="2"/>
        <v/>
      </c>
      <c r="B75" s="4"/>
      <c r="C75" s="4"/>
      <c r="D75" s="4"/>
      <c r="E75" s="137" t="str">
        <f>IFERROR(VLOOKUP(B75&amp;C75,'Banco de Dados'!$I:$L,4,FALSE),"")</f>
        <v/>
      </c>
      <c r="F75" s="137" t="str">
        <f>IFERROR(VLOOKUP(B75&amp;C75,'Banco de Dados'!$I:$L,3,FALSE),"")</f>
        <v/>
      </c>
      <c r="G75" s="125"/>
      <c r="H75" s="139" t="str">
        <f ca="1">IFERROR(DATE(YEAR(NOW()),VLOOKUP(I75,'Banco de Dados'!V:W,2,FALSE),VLOOKUP(B75&amp;C75,'Banco de Dados'!$I:$M,5,FALSE)),"")</f>
        <v/>
      </c>
      <c r="I75" s="4"/>
      <c r="J75" s="4"/>
      <c r="K75" s="4"/>
      <c r="L75" s="4"/>
      <c r="M75" s="128" t="str">
        <f>IFERROR(VLOOKUP(B75&amp;C75,'Banco de Dados'!$I:$N,6,FALSE),"")</f>
        <v/>
      </c>
      <c r="N75" s="141" t="str">
        <f t="shared" si="3"/>
        <v/>
      </c>
    </row>
    <row r="76" spans="1:14" x14ac:dyDescent="0.25">
      <c r="A76" s="137" t="str">
        <f t="shared" si="2"/>
        <v/>
      </c>
      <c r="B76" s="4"/>
      <c r="C76" s="4"/>
      <c r="D76" s="4"/>
      <c r="E76" s="137" t="str">
        <f>IFERROR(VLOOKUP(B76&amp;C76,'Banco de Dados'!$I:$L,4,FALSE),"")</f>
        <v/>
      </c>
      <c r="F76" s="137" t="str">
        <f>IFERROR(VLOOKUP(B76&amp;C76,'Banco de Dados'!$I:$L,3,FALSE),"")</f>
        <v/>
      </c>
      <c r="G76" s="125"/>
      <c r="H76" s="139" t="str">
        <f ca="1">IFERROR(DATE(YEAR(NOW()),VLOOKUP(I76,'Banco de Dados'!V:W,2,FALSE),VLOOKUP(B76&amp;C76,'Banco de Dados'!$I:$M,5,FALSE)),"")</f>
        <v/>
      </c>
      <c r="I76" s="4"/>
      <c r="J76" s="4"/>
      <c r="K76" s="4"/>
      <c r="L76" s="4"/>
      <c r="M76" s="128" t="str">
        <f>IFERROR(VLOOKUP(B76&amp;C76,'Banco de Dados'!$I:$N,6,FALSE),"")</f>
        <v/>
      </c>
      <c r="N76" s="141" t="str">
        <f t="shared" si="3"/>
        <v/>
      </c>
    </row>
    <row r="77" spans="1:14" x14ac:dyDescent="0.25">
      <c r="A77" s="137" t="str">
        <f t="shared" si="2"/>
        <v/>
      </c>
      <c r="B77" s="4"/>
      <c r="C77" s="4"/>
      <c r="D77" s="4"/>
      <c r="E77" s="137" t="str">
        <f>IFERROR(VLOOKUP(B77&amp;C77,'Banco de Dados'!$I:$L,4,FALSE),"")</f>
        <v/>
      </c>
      <c r="F77" s="137" t="str">
        <f>IFERROR(VLOOKUP(B77&amp;C77,'Banco de Dados'!$I:$L,3,FALSE),"")</f>
        <v/>
      </c>
      <c r="G77" s="125"/>
      <c r="H77" s="139" t="str">
        <f ca="1">IFERROR(DATE(YEAR(NOW()),VLOOKUP(I77,'Banco de Dados'!V:W,2,FALSE),VLOOKUP(B77&amp;C77,'Banco de Dados'!$I:$M,5,FALSE)),"")</f>
        <v/>
      </c>
      <c r="I77" s="4"/>
      <c r="J77" s="4"/>
      <c r="K77" s="4"/>
      <c r="L77" s="4"/>
      <c r="M77" s="128" t="str">
        <f>IFERROR(VLOOKUP(B77&amp;C77,'Banco de Dados'!$I:$N,6,FALSE),"")</f>
        <v/>
      </c>
      <c r="N77" s="141" t="str">
        <f t="shared" si="3"/>
        <v/>
      </c>
    </row>
    <row r="78" spans="1:14" x14ac:dyDescent="0.25">
      <c r="A78" s="137" t="str">
        <f t="shared" si="2"/>
        <v/>
      </c>
      <c r="B78" s="4"/>
      <c r="C78" s="4"/>
      <c r="D78" s="4"/>
      <c r="E78" s="137" t="str">
        <f>IFERROR(VLOOKUP(B78&amp;C78,'Banco de Dados'!$I:$L,4,FALSE),"")</f>
        <v/>
      </c>
      <c r="F78" s="137" t="str">
        <f>IFERROR(VLOOKUP(B78&amp;C78,'Banco de Dados'!$I:$L,3,FALSE),"")</f>
        <v/>
      </c>
      <c r="G78" s="125"/>
      <c r="H78" s="139" t="str">
        <f ca="1">IFERROR(DATE(YEAR(NOW()),VLOOKUP(I78,'Banco de Dados'!V:W,2,FALSE),VLOOKUP(B78&amp;C78,'Banco de Dados'!$I:$M,5,FALSE)),"")</f>
        <v/>
      </c>
      <c r="I78" s="4"/>
      <c r="J78" s="4"/>
      <c r="K78" s="4"/>
      <c r="L78" s="4"/>
      <c r="M78" s="128" t="str">
        <f>IFERROR(VLOOKUP(B78&amp;C78,'Banco de Dados'!$I:$N,6,FALSE),"")</f>
        <v/>
      </c>
      <c r="N78" s="141" t="str">
        <f t="shared" si="3"/>
        <v/>
      </c>
    </row>
    <row r="79" spans="1:14" x14ac:dyDescent="0.25">
      <c r="A79" s="137" t="str">
        <f t="shared" si="2"/>
        <v/>
      </c>
      <c r="B79" s="4"/>
      <c r="C79" s="4"/>
      <c r="D79" s="4"/>
      <c r="E79" s="137" t="str">
        <f>IFERROR(VLOOKUP(B79&amp;C79,'Banco de Dados'!$I:$L,4,FALSE),"")</f>
        <v/>
      </c>
      <c r="F79" s="137" t="str">
        <f>IFERROR(VLOOKUP(B79&amp;C79,'Banco de Dados'!$I:$L,3,FALSE),"")</f>
        <v/>
      </c>
      <c r="G79" s="125"/>
      <c r="H79" s="139" t="str">
        <f ca="1">IFERROR(DATE(YEAR(NOW()),VLOOKUP(I79,'Banco de Dados'!V:W,2,FALSE),VLOOKUP(B79&amp;C79,'Banco de Dados'!$I:$M,5,FALSE)),"")</f>
        <v/>
      </c>
      <c r="I79" s="4"/>
      <c r="J79" s="4"/>
      <c r="K79" s="4"/>
      <c r="L79" s="4"/>
      <c r="M79" s="128" t="str">
        <f>IFERROR(VLOOKUP(B79&amp;C79,'Banco de Dados'!$I:$N,6,FALSE),"")</f>
        <v/>
      </c>
      <c r="N79" s="141" t="str">
        <f t="shared" si="3"/>
        <v/>
      </c>
    </row>
    <row r="80" spans="1:14" x14ac:dyDescent="0.25">
      <c r="A80" s="137" t="str">
        <f t="shared" si="2"/>
        <v/>
      </c>
      <c r="B80" s="4"/>
      <c r="C80" s="4"/>
      <c r="D80" s="4"/>
      <c r="E80" s="137" t="str">
        <f>IFERROR(VLOOKUP(B80&amp;C80,'Banco de Dados'!$I:$L,4,FALSE),"")</f>
        <v/>
      </c>
      <c r="F80" s="137" t="str">
        <f>IFERROR(VLOOKUP(B80&amp;C80,'Banco de Dados'!$I:$L,3,FALSE),"")</f>
        <v/>
      </c>
      <c r="G80" s="125"/>
      <c r="H80" s="139" t="str">
        <f ca="1">IFERROR(DATE(YEAR(NOW()),VLOOKUP(I80,'Banco de Dados'!V:W,2,FALSE),VLOOKUP(B80&amp;C80,'Banco de Dados'!$I:$M,5,FALSE)),"")</f>
        <v/>
      </c>
      <c r="I80" s="4"/>
      <c r="J80" s="4"/>
      <c r="K80" s="4"/>
      <c r="L80" s="4"/>
      <c r="M80" s="128" t="str">
        <f>IFERROR(VLOOKUP(B80&amp;C80,'Banco de Dados'!$I:$N,6,FALSE),"")</f>
        <v/>
      </c>
      <c r="N80" s="141" t="str">
        <f t="shared" si="3"/>
        <v/>
      </c>
    </row>
    <row r="81" spans="1:14" x14ac:dyDescent="0.25">
      <c r="A81" s="137" t="str">
        <f t="shared" si="2"/>
        <v/>
      </c>
      <c r="B81" s="4"/>
      <c r="C81" s="4"/>
      <c r="D81" s="4"/>
      <c r="E81" s="137" t="str">
        <f>IFERROR(VLOOKUP(B81&amp;C81,'Banco de Dados'!$I:$L,4,FALSE),"")</f>
        <v/>
      </c>
      <c r="F81" s="137" t="str">
        <f>IFERROR(VLOOKUP(B81&amp;C81,'Banco de Dados'!$I:$L,3,FALSE),"")</f>
        <v/>
      </c>
      <c r="G81" s="125"/>
      <c r="H81" s="139" t="str">
        <f ca="1">IFERROR(DATE(YEAR(NOW()),VLOOKUP(I81,'Banco de Dados'!V:W,2,FALSE),VLOOKUP(B81&amp;C81,'Banco de Dados'!$I:$M,5,FALSE)),"")</f>
        <v/>
      </c>
      <c r="I81" s="4"/>
      <c r="J81" s="4"/>
      <c r="K81" s="4"/>
      <c r="L81" s="4"/>
      <c r="M81" s="128" t="str">
        <f>IFERROR(VLOOKUP(B81&amp;C81,'Banco de Dados'!$I:$N,6,FALSE),"")</f>
        <v/>
      </c>
      <c r="N81" s="141" t="str">
        <f t="shared" si="3"/>
        <v/>
      </c>
    </row>
    <row r="82" spans="1:14" x14ac:dyDescent="0.25">
      <c r="A82" s="137" t="str">
        <f t="shared" si="2"/>
        <v/>
      </c>
      <c r="B82" s="4"/>
      <c r="C82" s="4"/>
      <c r="D82" s="4"/>
      <c r="E82" s="137" t="str">
        <f>IFERROR(VLOOKUP(B82&amp;C82,'Banco de Dados'!$I:$L,4,FALSE),"")</f>
        <v/>
      </c>
      <c r="F82" s="137" t="str">
        <f>IFERROR(VLOOKUP(B82&amp;C82,'Banco de Dados'!$I:$L,3,FALSE),"")</f>
        <v/>
      </c>
      <c r="G82" s="125"/>
      <c r="H82" s="139" t="str">
        <f ca="1">IFERROR(DATE(YEAR(NOW()),VLOOKUP(I82,'Banco de Dados'!V:W,2,FALSE),VLOOKUP(B82&amp;C82,'Banco de Dados'!$I:$M,5,FALSE)),"")</f>
        <v/>
      </c>
      <c r="I82" s="4"/>
      <c r="J82" s="4"/>
      <c r="K82" s="4"/>
      <c r="L82" s="4"/>
      <c r="M82" s="128" t="str">
        <f>IFERROR(VLOOKUP(B82&amp;C82,'Banco de Dados'!$I:$N,6,FALSE),"")</f>
        <v/>
      </c>
      <c r="N82" s="141" t="str">
        <f t="shared" si="3"/>
        <v/>
      </c>
    </row>
    <row r="83" spans="1:14" x14ac:dyDescent="0.25">
      <c r="A83" s="137" t="str">
        <f t="shared" si="2"/>
        <v/>
      </c>
      <c r="B83" s="4"/>
      <c r="C83" s="4"/>
      <c r="D83" s="4"/>
      <c r="E83" s="137" t="str">
        <f>IFERROR(VLOOKUP(B83&amp;C83,'Banco de Dados'!$I:$L,4,FALSE),"")</f>
        <v/>
      </c>
      <c r="F83" s="137" t="str">
        <f>IFERROR(VLOOKUP(B83&amp;C83,'Banco de Dados'!$I:$L,3,FALSE),"")</f>
        <v/>
      </c>
      <c r="G83" s="125"/>
      <c r="H83" s="139" t="str">
        <f ca="1">IFERROR(DATE(YEAR(NOW()),VLOOKUP(I83,'Banco de Dados'!V:W,2,FALSE),VLOOKUP(B83&amp;C83,'Banco de Dados'!$I:$M,5,FALSE)),"")</f>
        <v/>
      </c>
      <c r="I83" s="4"/>
      <c r="J83" s="4"/>
      <c r="K83" s="4"/>
      <c r="L83" s="4"/>
      <c r="M83" s="128" t="str">
        <f>IFERROR(VLOOKUP(B83&amp;C83,'Banco de Dados'!$I:$N,6,FALSE),"")</f>
        <v/>
      </c>
      <c r="N83" s="141" t="str">
        <f t="shared" si="3"/>
        <v/>
      </c>
    </row>
    <row r="84" spans="1:14" x14ac:dyDescent="0.25">
      <c r="A84" s="137" t="str">
        <f t="shared" si="2"/>
        <v/>
      </c>
      <c r="B84" s="4"/>
      <c r="C84" s="4"/>
      <c r="D84" s="4"/>
      <c r="E84" s="137" t="str">
        <f>IFERROR(VLOOKUP(B84&amp;C84,'Banco de Dados'!$I:$L,4,FALSE),"")</f>
        <v/>
      </c>
      <c r="F84" s="137" t="str">
        <f>IFERROR(VLOOKUP(B84&amp;C84,'Banco de Dados'!$I:$L,3,FALSE),"")</f>
        <v/>
      </c>
      <c r="G84" s="125"/>
      <c r="H84" s="139" t="str">
        <f ca="1">IFERROR(DATE(YEAR(NOW()),VLOOKUP(I84,'Banco de Dados'!V:W,2,FALSE),VLOOKUP(B84&amp;C84,'Banco de Dados'!$I:$M,5,FALSE)),"")</f>
        <v/>
      </c>
      <c r="I84" s="4"/>
      <c r="J84" s="4"/>
      <c r="K84" s="4"/>
      <c r="L84" s="4"/>
      <c r="M84" s="128" t="str">
        <f>IFERROR(VLOOKUP(B84&amp;C84,'Banco de Dados'!$I:$N,6,FALSE),"")</f>
        <v/>
      </c>
      <c r="N84" s="141" t="str">
        <f t="shared" si="3"/>
        <v/>
      </c>
    </row>
    <row r="85" spans="1:14" x14ac:dyDescent="0.25">
      <c r="A85" s="137" t="str">
        <f t="shared" si="2"/>
        <v/>
      </c>
      <c r="B85" s="4"/>
      <c r="C85" s="4"/>
      <c r="D85" s="4"/>
      <c r="E85" s="137" t="str">
        <f>IFERROR(VLOOKUP(B85&amp;C85,'Banco de Dados'!$I:$L,4,FALSE),"")</f>
        <v/>
      </c>
      <c r="F85" s="137" t="str">
        <f>IFERROR(VLOOKUP(B85&amp;C85,'Banco de Dados'!$I:$L,3,FALSE),"")</f>
        <v/>
      </c>
      <c r="G85" s="125"/>
      <c r="H85" s="139" t="str">
        <f ca="1">IFERROR(DATE(YEAR(NOW()),VLOOKUP(I85,'Banco de Dados'!V:W,2,FALSE),VLOOKUP(B85&amp;C85,'Banco de Dados'!$I:$M,5,FALSE)),"")</f>
        <v/>
      </c>
      <c r="I85" s="4"/>
      <c r="J85" s="4"/>
      <c r="K85" s="4"/>
      <c r="L85" s="4"/>
      <c r="M85" s="128" t="str">
        <f>IFERROR(VLOOKUP(B85&amp;C85,'Banco de Dados'!$I:$N,6,FALSE),"")</f>
        <v/>
      </c>
      <c r="N85" s="141" t="str">
        <f t="shared" si="3"/>
        <v/>
      </c>
    </row>
    <row r="86" spans="1:14" x14ac:dyDescent="0.25">
      <c r="A86" s="137" t="str">
        <f t="shared" si="2"/>
        <v/>
      </c>
      <c r="B86" s="4"/>
      <c r="C86" s="4"/>
      <c r="D86" s="4"/>
      <c r="E86" s="137" t="str">
        <f>IFERROR(VLOOKUP(B86&amp;C86,'Banco de Dados'!$I:$L,4,FALSE),"")</f>
        <v/>
      </c>
      <c r="F86" s="137" t="str">
        <f>IFERROR(VLOOKUP(B86&amp;C86,'Banco de Dados'!$I:$L,3,FALSE),"")</f>
        <v/>
      </c>
      <c r="G86" s="125"/>
      <c r="H86" s="139" t="str">
        <f ca="1">IFERROR(DATE(YEAR(NOW()),VLOOKUP(I86,'Banco de Dados'!V:W,2,FALSE),VLOOKUP(B86&amp;C86,'Banco de Dados'!$I:$M,5,FALSE)),"")</f>
        <v/>
      </c>
      <c r="I86" s="4"/>
      <c r="J86" s="4"/>
      <c r="K86" s="4"/>
      <c r="L86" s="4"/>
      <c r="M86" s="128" t="str">
        <f>IFERROR(VLOOKUP(B86&amp;C86,'Banco de Dados'!$I:$N,6,FALSE),"")</f>
        <v/>
      </c>
      <c r="N86" s="141" t="str">
        <f t="shared" si="3"/>
        <v/>
      </c>
    </row>
    <row r="87" spans="1:14" x14ac:dyDescent="0.25">
      <c r="A87" s="137" t="str">
        <f t="shared" si="2"/>
        <v/>
      </c>
      <c r="B87" s="4"/>
      <c r="C87" s="4"/>
      <c r="D87" s="4"/>
      <c r="E87" s="137" t="str">
        <f>IFERROR(VLOOKUP(B87&amp;C87,'Banco de Dados'!$I:$L,4,FALSE),"")</f>
        <v/>
      </c>
      <c r="F87" s="137" t="str">
        <f>IFERROR(VLOOKUP(B87&amp;C87,'Banco de Dados'!$I:$L,3,FALSE),"")</f>
        <v/>
      </c>
      <c r="G87" s="125"/>
      <c r="H87" s="139" t="str">
        <f ca="1">IFERROR(DATE(YEAR(NOW()),VLOOKUP(I87,'Banco de Dados'!V:W,2,FALSE),VLOOKUP(B87&amp;C87,'Banco de Dados'!$I:$M,5,FALSE)),"")</f>
        <v/>
      </c>
      <c r="I87" s="4"/>
      <c r="J87" s="4"/>
      <c r="K87" s="4"/>
      <c r="L87" s="4"/>
      <c r="M87" s="128" t="str">
        <f>IFERROR(VLOOKUP(B87&amp;C87,'Banco de Dados'!$I:$N,6,FALSE),"")</f>
        <v/>
      </c>
      <c r="N87" s="141" t="str">
        <f t="shared" si="3"/>
        <v/>
      </c>
    </row>
    <row r="88" spans="1:14" x14ac:dyDescent="0.25">
      <c r="A88" s="137" t="str">
        <f t="shared" si="2"/>
        <v/>
      </c>
      <c r="B88" s="4"/>
      <c r="C88" s="4"/>
      <c r="D88" s="4"/>
      <c r="E88" s="137" t="str">
        <f>IFERROR(VLOOKUP(B88&amp;C88,'Banco de Dados'!$I:$L,4,FALSE),"")</f>
        <v/>
      </c>
      <c r="F88" s="137" t="str">
        <f>IFERROR(VLOOKUP(B88&amp;C88,'Banco de Dados'!$I:$L,3,FALSE),"")</f>
        <v/>
      </c>
      <c r="G88" s="125"/>
      <c r="H88" s="139" t="str">
        <f ca="1">IFERROR(DATE(YEAR(NOW()),VLOOKUP(I88,'Banco de Dados'!V:W,2,FALSE),VLOOKUP(B88&amp;C88,'Banco de Dados'!$I:$M,5,FALSE)),"")</f>
        <v/>
      </c>
      <c r="I88" s="4"/>
      <c r="J88" s="4"/>
      <c r="K88" s="4"/>
      <c r="L88" s="4"/>
      <c r="M88" s="128" t="str">
        <f>IFERROR(VLOOKUP(B88&amp;C88,'Banco de Dados'!$I:$N,6,FALSE),"")</f>
        <v/>
      </c>
      <c r="N88" s="141" t="str">
        <f t="shared" si="3"/>
        <v/>
      </c>
    </row>
    <row r="89" spans="1:14" x14ac:dyDescent="0.25">
      <c r="A89" s="137" t="str">
        <f t="shared" si="2"/>
        <v/>
      </c>
      <c r="B89" s="4"/>
      <c r="C89" s="4"/>
      <c r="D89" s="4"/>
      <c r="E89" s="137" t="str">
        <f>IFERROR(VLOOKUP(B89&amp;C89,'Banco de Dados'!$I:$L,4,FALSE),"")</f>
        <v/>
      </c>
      <c r="F89" s="137" t="str">
        <f>IFERROR(VLOOKUP(B89&amp;C89,'Banco de Dados'!$I:$L,3,FALSE),"")</f>
        <v/>
      </c>
      <c r="G89" s="125"/>
      <c r="H89" s="139" t="str">
        <f ca="1">IFERROR(DATE(YEAR(NOW()),VLOOKUP(I89,'Banco de Dados'!V:W,2,FALSE),VLOOKUP(B89&amp;C89,'Banco de Dados'!$I:$M,5,FALSE)),"")</f>
        <v/>
      </c>
      <c r="I89" s="4"/>
      <c r="J89" s="4"/>
      <c r="K89" s="4"/>
      <c r="L89" s="4"/>
      <c r="M89" s="128" t="str">
        <f>IFERROR(VLOOKUP(B89&amp;C89,'Banco de Dados'!$I:$N,6,FALSE),"")</f>
        <v/>
      </c>
      <c r="N89" s="141" t="str">
        <f t="shared" si="3"/>
        <v/>
      </c>
    </row>
    <row r="90" spans="1:14" x14ac:dyDescent="0.25">
      <c r="A90" s="137" t="str">
        <f t="shared" si="2"/>
        <v/>
      </c>
      <c r="B90" s="4"/>
      <c r="C90" s="4"/>
      <c r="D90" s="4"/>
      <c r="E90" s="137" t="str">
        <f>IFERROR(VLOOKUP(B90&amp;C90,'Banco de Dados'!$I:$L,4,FALSE),"")</f>
        <v/>
      </c>
      <c r="F90" s="137" t="str">
        <f>IFERROR(VLOOKUP(B90&amp;C90,'Banco de Dados'!$I:$L,3,FALSE),"")</f>
        <v/>
      </c>
      <c r="G90" s="125"/>
      <c r="H90" s="139" t="str">
        <f ca="1">IFERROR(DATE(YEAR(NOW()),VLOOKUP(I90,'Banco de Dados'!V:W,2,FALSE),VLOOKUP(B90&amp;C90,'Banco de Dados'!$I:$M,5,FALSE)),"")</f>
        <v/>
      </c>
      <c r="I90" s="4"/>
      <c r="J90" s="4"/>
      <c r="K90" s="4"/>
      <c r="L90" s="4"/>
      <c r="M90" s="128" t="str">
        <f>IFERROR(VLOOKUP(B90&amp;C90,'Banco de Dados'!$I:$N,6,FALSE),"")</f>
        <v/>
      </c>
      <c r="N90" s="141" t="str">
        <f t="shared" si="3"/>
        <v/>
      </c>
    </row>
    <row r="91" spans="1:14" x14ac:dyDescent="0.25">
      <c r="A91" s="137" t="str">
        <f t="shared" si="2"/>
        <v/>
      </c>
      <c r="B91" s="4"/>
      <c r="C91" s="4"/>
      <c r="D91" s="4"/>
      <c r="E91" s="137" t="str">
        <f>IFERROR(VLOOKUP(B91&amp;C91,'Banco de Dados'!$I:$L,4,FALSE),"")</f>
        <v/>
      </c>
      <c r="F91" s="137" t="str">
        <f>IFERROR(VLOOKUP(B91&amp;C91,'Banco de Dados'!$I:$L,3,FALSE),"")</f>
        <v/>
      </c>
      <c r="G91" s="125"/>
      <c r="H91" s="139" t="str">
        <f ca="1">IFERROR(DATE(YEAR(NOW()),VLOOKUP(I91,'Banco de Dados'!V:W,2,FALSE),VLOOKUP(B91&amp;C91,'Banco de Dados'!$I:$M,5,FALSE)),"")</f>
        <v/>
      </c>
      <c r="I91" s="4"/>
      <c r="J91" s="4"/>
      <c r="K91" s="4"/>
      <c r="L91" s="4"/>
      <c r="M91" s="128" t="str">
        <f>IFERROR(VLOOKUP(B91&amp;C91,'Banco de Dados'!$I:$N,6,FALSE),"")</f>
        <v/>
      </c>
      <c r="N91" s="141" t="str">
        <f t="shared" si="3"/>
        <v/>
      </c>
    </row>
    <row r="92" spans="1:14" x14ac:dyDescent="0.25">
      <c r="A92" s="137" t="str">
        <f t="shared" si="2"/>
        <v/>
      </c>
      <c r="B92" s="4"/>
      <c r="C92" s="4"/>
      <c r="D92" s="4"/>
      <c r="E92" s="137" t="str">
        <f>IFERROR(VLOOKUP(B92&amp;C92,'Banco de Dados'!$I:$L,4,FALSE),"")</f>
        <v/>
      </c>
      <c r="F92" s="137" t="str">
        <f>IFERROR(VLOOKUP(B92&amp;C92,'Banco de Dados'!$I:$L,3,FALSE),"")</f>
        <v/>
      </c>
      <c r="G92" s="125"/>
      <c r="H92" s="139" t="str">
        <f ca="1">IFERROR(DATE(YEAR(NOW()),VLOOKUP(I92,'Banco de Dados'!V:W,2,FALSE),VLOOKUP(B92&amp;C92,'Banco de Dados'!$I:$M,5,FALSE)),"")</f>
        <v/>
      </c>
      <c r="I92" s="4"/>
      <c r="J92" s="4"/>
      <c r="K92" s="4"/>
      <c r="L92" s="4"/>
      <c r="M92" s="128" t="str">
        <f>IFERROR(VLOOKUP(B92&amp;C92,'Banco de Dados'!$I:$N,6,FALSE),"")</f>
        <v/>
      </c>
      <c r="N92" s="141" t="str">
        <f t="shared" si="3"/>
        <v/>
      </c>
    </row>
    <row r="93" spans="1:14" x14ac:dyDescent="0.25">
      <c r="A93" s="137" t="str">
        <f t="shared" si="2"/>
        <v/>
      </c>
      <c r="B93" s="4"/>
      <c r="C93" s="4"/>
      <c r="D93" s="4"/>
      <c r="E93" s="137" t="str">
        <f>IFERROR(VLOOKUP(B93&amp;C93,'Banco de Dados'!$I:$L,4,FALSE),"")</f>
        <v/>
      </c>
      <c r="F93" s="137" t="str">
        <f>IFERROR(VLOOKUP(B93&amp;C93,'Banco de Dados'!$I:$L,3,FALSE),"")</f>
        <v/>
      </c>
      <c r="G93" s="125"/>
      <c r="H93" s="139" t="str">
        <f ca="1">IFERROR(DATE(YEAR(NOW()),VLOOKUP(I93,'Banco de Dados'!V:W,2,FALSE),VLOOKUP(B93&amp;C93,'Banco de Dados'!$I:$M,5,FALSE)),"")</f>
        <v/>
      </c>
      <c r="I93" s="4"/>
      <c r="J93" s="4"/>
      <c r="K93" s="4"/>
      <c r="L93" s="4"/>
      <c r="M93" s="128" t="str">
        <f>IFERROR(VLOOKUP(B93&amp;C93,'Banco de Dados'!$I:$N,6,FALSE),"")</f>
        <v/>
      </c>
      <c r="N93" s="141" t="str">
        <f t="shared" si="3"/>
        <v/>
      </c>
    </row>
    <row r="94" spans="1:14" x14ac:dyDescent="0.25">
      <c r="A94" s="137" t="str">
        <f t="shared" si="2"/>
        <v/>
      </c>
      <c r="B94" s="4"/>
      <c r="C94" s="4"/>
      <c r="D94" s="4"/>
      <c r="E94" s="137" t="str">
        <f>IFERROR(VLOOKUP(B94&amp;C94,'Banco de Dados'!$I:$L,4,FALSE),"")</f>
        <v/>
      </c>
      <c r="F94" s="137" t="str">
        <f>IFERROR(VLOOKUP(B94&amp;C94,'Banco de Dados'!$I:$L,3,FALSE),"")</f>
        <v/>
      </c>
      <c r="G94" s="125"/>
      <c r="H94" s="139" t="str">
        <f ca="1">IFERROR(DATE(YEAR(NOW()),VLOOKUP(I94,'Banco de Dados'!V:W,2,FALSE),VLOOKUP(B94&amp;C94,'Banco de Dados'!$I:$M,5,FALSE)),"")</f>
        <v/>
      </c>
      <c r="I94" s="4"/>
      <c r="J94" s="4"/>
      <c r="K94" s="4"/>
      <c r="L94" s="4"/>
      <c r="M94" s="128" t="str">
        <f>IFERROR(VLOOKUP(B94&amp;C94,'Banco de Dados'!$I:$N,6,FALSE),"")</f>
        <v/>
      </c>
      <c r="N94" s="141" t="str">
        <f t="shared" si="3"/>
        <v/>
      </c>
    </row>
    <row r="95" spans="1:14" x14ac:dyDescent="0.25">
      <c r="A95" s="137" t="str">
        <f t="shared" si="2"/>
        <v/>
      </c>
      <c r="B95" s="4"/>
      <c r="C95" s="4"/>
      <c r="D95" s="4"/>
      <c r="E95" s="137" t="str">
        <f>IFERROR(VLOOKUP(B95&amp;C95,'Banco de Dados'!$I:$L,4,FALSE),"")</f>
        <v/>
      </c>
      <c r="F95" s="137" t="str">
        <f>IFERROR(VLOOKUP(B95&amp;C95,'Banco de Dados'!$I:$L,3,FALSE),"")</f>
        <v/>
      </c>
      <c r="G95" s="125"/>
      <c r="H95" s="139" t="str">
        <f ca="1">IFERROR(DATE(YEAR(NOW()),VLOOKUP(I95,'Banco de Dados'!V:W,2,FALSE),VLOOKUP(B95&amp;C95,'Banco de Dados'!$I:$M,5,FALSE)),"")</f>
        <v/>
      </c>
      <c r="I95" s="4"/>
      <c r="J95" s="4"/>
      <c r="K95" s="4"/>
      <c r="L95" s="4"/>
      <c r="M95" s="128" t="str">
        <f>IFERROR(VLOOKUP(B95&amp;C95,'Banco de Dados'!$I:$N,6,FALSE),"")</f>
        <v/>
      </c>
      <c r="N95" s="141" t="str">
        <f t="shared" si="3"/>
        <v/>
      </c>
    </row>
    <row r="96" spans="1:14" x14ac:dyDescent="0.25">
      <c r="A96" s="137" t="str">
        <f t="shared" si="2"/>
        <v/>
      </c>
      <c r="B96" s="4"/>
      <c r="C96" s="4"/>
      <c r="D96" s="4"/>
      <c r="E96" s="137" t="str">
        <f>IFERROR(VLOOKUP(B96&amp;C96,'Banco de Dados'!$I:$L,4,FALSE),"")</f>
        <v/>
      </c>
      <c r="F96" s="137" t="str">
        <f>IFERROR(VLOOKUP(B96&amp;C96,'Banco de Dados'!$I:$L,3,FALSE),"")</f>
        <v/>
      </c>
      <c r="G96" s="125"/>
      <c r="H96" s="139" t="str">
        <f ca="1">IFERROR(DATE(YEAR(NOW()),VLOOKUP(I96,'Banco de Dados'!V:W,2,FALSE),VLOOKUP(B96&amp;C96,'Banco de Dados'!$I:$M,5,FALSE)),"")</f>
        <v/>
      </c>
      <c r="I96" s="4"/>
      <c r="J96" s="4"/>
      <c r="K96" s="4"/>
      <c r="L96" s="4"/>
      <c r="M96" s="128" t="str">
        <f>IFERROR(VLOOKUP(B96&amp;C96,'Banco de Dados'!$I:$N,6,FALSE),"")</f>
        <v/>
      </c>
      <c r="N96" s="141" t="str">
        <f t="shared" si="3"/>
        <v/>
      </c>
    </row>
    <row r="97" spans="1:14" x14ac:dyDescent="0.25">
      <c r="A97" s="137" t="str">
        <f t="shared" si="2"/>
        <v/>
      </c>
      <c r="B97" s="4"/>
      <c r="C97" s="4"/>
      <c r="D97" s="4"/>
      <c r="E97" s="137" t="str">
        <f>IFERROR(VLOOKUP(B97&amp;C97,'Banco de Dados'!$I:$L,4,FALSE),"")</f>
        <v/>
      </c>
      <c r="F97" s="137" t="str">
        <f>IFERROR(VLOOKUP(B97&amp;C97,'Banco de Dados'!$I:$L,3,FALSE),"")</f>
        <v/>
      </c>
      <c r="G97" s="125"/>
      <c r="H97" s="139" t="str">
        <f ca="1">IFERROR(DATE(YEAR(NOW()),VLOOKUP(I97,'Banco de Dados'!V:W,2,FALSE),VLOOKUP(B97&amp;C97,'Banco de Dados'!$I:$M,5,FALSE)),"")</f>
        <v/>
      </c>
      <c r="I97" s="4"/>
      <c r="J97" s="4"/>
      <c r="K97" s="4"/>
      <c r="L97" s="4"/>
      <c r="M97" s="128" t="str">
        <f>IFERROR(VLOOKUP(B97&amp;C97,'Banco de Dados'!$I:$N,6,FALSE),"")</f>
        <v/>
      </c>
      <c r="N97" s="141" t="str">
        <f t="shared" si="3"/>
        <v/>
      </c>
    </row>
    <row r="98" spans="1:14" x14ac:dyDescent="0.25">
      <c r="A98" s="137" t="str">
        <f t="shared" si="2"/>
        <v/>
      </c>
      <c r="B98" s="4"/>
      <c r="C98" s="4"/>
      <c r="D98" s="4"/>
      <c r="E98" s="137" t="str">
        <f>IFERROR(VLOOKUP(B98&amp;C98,'Banco de Dados'!$I:$L,4,FALSE),"")</f>
        <v/>
      </c>
      <c r="F98" s="137" t="str">
        <f>IFERROR(VLOOKUP(B98&amp;C98,'Banco de Dados'!$I:$L,3,FALSE),"")</f>
        <v/>
      </c>
      <c r="G98" s="125"/>
      <c r="H98" s="139" t="str">
        <f ca="1">IFERROR(DATE(YEAR(NOW()),VLOOKUP(I98,'Banco de Dados'!V:W,2,FALSE),VLOOKUP(B98&amp;C98,'Banco de Dados'!$I:$M,5,FALSE)),"")</f>
        <v/>
      </c>
      <c r="I98" s="4"/>
      <c r="J98" s="4"/>
      <c r="K98" s="4"/>
      <c r="L98" s="4"/>
      <c r="M98" s="128" t="str">
        <f>IFERROR(VLOOKUP(B98&amp;C98,'Banco de Dados'!$I:$N,6,FALSE),"")</f>
        <v/>
      </c>
      <c r="N98" s="141" t="str">
        <f t="shared" si="3"/>
        <v/>
      </c>
    </row>
    <row r="99" spans="1:14" x14ac:dyDescent="0.25">
      <c r="A99" s="137" t="str">
        <f t="shared" si="2"/>
        <v/>
      </c>
      <c r="B99" s="4"/>
      <c r="C99" s="4"/>
      <c r="D99" s="4"/>
      <c r="E99" s="137" t="str">
        <f>IFERROR(VLOOKUP(B99&amp;C99,'Banco de Dados'!$I:$L,4,FALSE),"")</f>
        <v/>
      </c>
      <c r="F99" s="137" t="str">
        <f>IFERROR(VLOOKUP(B99&amp;C99,'Banco de Dados'!$I:$L,3,FALSE),"")</f>
        <v/>
      </c>
      <c r="G99" s="125"/>
      <c r="H99" s="139" t="str">
        <f ca="1">IFERROR(DATE(YEAR(NOW()),VLOOKUP(I99,'Banco de Dados'!V:W,2,FALSE),VLOOKUP(B99&amp;C99,'Banco de Dados'!$I:$M,5,FALSE)),"")</f>
        <v/>
      </c>
      <c r="I99" s="4"/>
      <c r="J99" s="4"/>
      <c r="K99" s="4"/>
      <c r="L99" s="4"/>
      <c r="M99" s="128" t="str">
        <f>IFERROR(VLOOKUP(B99&amp;C99,'Banco de Dados'!$I:$N,6,FALSE),"")</f>
        <v/>
      </c>
      <c r="N99" s="141" t="str">
        <f t="shared" si="3"/>
        <v/>
      </c>
    </row>
    <row r="100" spans="1:14" x14ac:dyDescent="0.25">
      <c r="A100" s="137" t="str">
        <f t="shared" si="2"/>
        <v/>
      </c>
      <c r="B100" s="4"/>
      <c r="C100" s="4"/>
      <c r="D100" s="4"/>
      <c r="E100" s="137" t="str">
        <f>IFERROR(VLOOKUP(B100&amp;C100,'Banco de Dados'!$I:$L,4,FALSE),"")</f>
        <v/>
      </c>
      <c r="F100" s="137" t="str">
        <f>IFERROR(VLOOKUP(B100&amp;C100,'Banco de Dados'!$I:$L,3,FALSE),"")</f>
        <v/>
      </c>
      <c r="G100" s="125"/>
      <c r="H100" s="139" t="str">
        <f ca="1">IFERROR(DATE(YEAR(NOW()),VLOOKUP(I100,'Banco de Dados'!V:W,2,FALSE),VLOOKUP(B100&amp;C100,'Banco de Dados'!$I:$M,5,FALSE)),"")</f>
        <v/>
      </c>
      <c r="I100" s="4"/>
      <c r="J100" s="4"/>
      <c r="K100" s="4"/>
      <c r="L100" s="4"/>
      <c r="M100" s="128" t="str">
        <f>IFERROR(VLOOKUP(B100&amp;C100,'Banco de Dados'!$I:$N,6,FALSE),"")</f>
        <v/>
      </c>
      <c r="N100" s="141" t="str">
        <f t="shared" si="3"/>
        <v/>
      </c>
    </row>
    <row r="101" spans="1:14" x14ac:dyDescent="0.25">
      <c r="A101" s="137" t="str">
        <f t="shared" si="2"/>
        <v/>
      </c>
      <c r="B101" s="4"/>
      <c r="C101" s="4"/>
      <c r="D101" s="4"/>
      <c r="E101" s="137" t="str">
        <f>IFERROR(VLOOKUP(B101&amp;C101,'Banco de Dados'!$I:$L,4,FALSE),"")</f>
        <v/>
      </c>
      <c r="F101" s="137" t="str">
        <f>IFERROR(VLOOKUP(B101&amp;C101,'Banco de Dados'!$I:$L,3,FALSE),"")</f>
        <v/>
      </c>
      <c r="G101" s="125"/>
      <c r="H101" s="139" t="str">
        <f ca="1">IFERROR(DATE(YEAR(NOW()),VLOOKUP(I101,'Banco de Dados'!V:W,2,FALSE),VLOOKUP(B101&amp;C101,'Banco de Dados'!$I:$M,5,FALSE)),"")</f>
        <v/>
      </c>
      <c r="I101" s="4"/>
      <c r="J101" s="4"/>
      <c r="K101" s="4"/>
      <c r="L101" s="4"/>
      <c r="M101" s="128" t="str">
        <f>IFERROR(VLOOKUP(B101&amp;C101,'Banco de Dados'!$I:$N,6,FALSE),"")</f>
        <v/>
      </c>
      <c r="N101" s="141" t="str">
        <f t="shared" si="3"/>
        <v/>
      </c>
    </row>
    <row r="102" spans="1:14" x14ac:dyDescent="0.25">
      <c r="A102" s="137" t="str">
        <f t="shared" si="2"/>
        <v/>
      </c>
      <c r="B102" s="4"/>
      <c r="C102" s="4"/>
      <c r="D102" s="4"/>
      <c r="E102" s="137" t="str">
        <f>IFERROR(VLOOKUP(B102&amp;C102,'Banco de Dados'!$I:$L,4,FALSE),"")</f>
        <v/>
      </c>
      <c r="F102" s="137" t="str">
        <f>IFERROR(VLOOKUP(B102&amp;C102,'Banco de Dados'!$I:$L,3,FALSE),"")</f>
        <v/>
      </c>
      <c r="G102" s="125"/>
      <c r="H102" s="139" t="str">
        <f ca="1">IFERROR(DATE(YEAR(NOW()),VLOOKUP(I102,'Banco de Dados'!V:W,2,FALSE),VLOOKUP(B102&amp;C102,'Banco de Dados'!$I:$M,5,FALSE)),"")</f>
        <v/>
      </c>
      <c r="I102" s="4"/>
      <c r="J102" s="4"/>
      <c r="K102" s="4"/>
      <c r="L102" s="4"/>
      <c r="M102" s="128" t="str">
        <f>IFERROR(VLOOKUP(B102&amp;C102,'Banco de Dados'!$I:$N,6,FALSE),"")</f>
        <v/>
      </c>
      <c r="N102" s="141" t="str">
        <f t="shared" si="3"/>
        <v/>
      </c>
    </row>
    <row r="103" spans="1:14" x14ac:dyDescent="0.25">
      <c r="A103" s="137" t="str">
        <f t="shared" si="2"/>
        <v/>
      </c>
      <c r="B103" s="4"/>
      <c r="C103" s="4"/>
      <c r="D103" s="4"/>
      <c r="E103" s="137" t="str">
        <f>IFERROR(VLOOKUP(B103&amp;C103,'Banco de Dados'!$I:$L,4,FALSE),"")</f>
        <v/>
      </c>
      <c r="F103" s="137" t="str">
        <f>IFERROR(VLOOKUP(B103&amp;C103,'Banco de Dados'!$I:$L,3,FALSE),"")</f>
        <v/>
      </c>
      <c r="G103" s="125"/>
      <c r="H103" s="139" t="str">
        <f ca="1">IFERROR(DATE(YEAR(NOW()),VLOOKUP(I103,'Banco de Dados'!V:W,2,FALSE),VLOOKUP(B103&amp;C103,'Banco de Dados'!$I:$M,5,FALSE)),"")</f>
        <v/>
      </c>
      <c r="I103" s="4"/>
      <c r="J103" s="4"/>
      <c r="K103" s="4"/>
      <c r="L103" s="4"/>
      <c r="M103" s="128" t="str">
        <f>IFERROR(VLOOKUP(B103&amp;C103,'Banco de Dados'!$I:$N,6,FALSE),"")</f>
        <v/>
      </c>
      <c r="N103" s="141" t="str">
        <f t="shared" si="3"/>
        <v/>
      </c>
    </row>
    <row r="104" spans="1:14" x14ac:dyDescent="0.25">
      <c r="A104" s="137" t="str">
        <f t="shared" si="2"/>
        <v/>
      </c>
      <c r="B104" s="4"/>
      <c r="C104" s="4"/>
      <c r="D104" s="4"/>
      <c r="E104" s="137" t="str">
        <f>IFERROR(VLOOKUP(B104&amp;C104,'Banco de Dados'!$I:$L,4,FALSE),"")</f>
        <v/>
      </c>
      <c r="F104" s="137" t="str">
        <f>IFERROR(VLOOKUP(B104&amp;C104,'Banco de Dados'!$I:$L,3,FALSE),"")</f>
        <v/>
      </c>
      <c r="G104" s="125"/>
      <c r="H104" s="139" t="str">
        <f ca="1">IFERROR(DATE(YEAR(NOW()),VLOOKUP(I104,'Banco de Dados'!V:W,2,FALSE),VLOOKUP(B104&amp;C104,'Banco de Dados'!$I:$M,5,FALSE)),"")</f>
        <v/>
      </c>
      <c r="I104" s="4"/>
      <c r="J104" s="4"/>
      <c r="K104" s="4"/>
      <c r="L104" s="4"/>
      <c r="M104" s="128" t="str">
        <f>IFERROR(VLOOKUP(B104&amp;C104,'Banco de Dados'!$I:$N,6,FALSE),"")</f>
        <v/>
      </c>
      <c r="N104" s="141" t="str">
        <f t="shared" si="3"/>
        <v/>
      </c>
    </row>
    <row r="105" spans="1:14" x14ac:dyDescent="0.25">
      <c r="A105" s="137" t="str">
        <f t="shared" si="2"/>
        <v/>
      </c>
      <c r="B105" s="4"/>
      <c r="C105" s="4"/>
      <c r="D105" s="4"/>
      <c r="E105" s="137" t="str">
        <f>IFERROR(VLOOKUP(B105&amp;C105,'Banco de Dados'!$I:$L,4,FALSE),"")</f>
        <v/>
      </c>
      <c r="F105" s="137" t="str">
        <f>IFERROR(VLOOKUP(B105&amp;C105,'Banco de Dados'!$I:$L,3,FALSE),"")</f>
        <v/>
      </c>
      <c r="G105" s="125"/>
      <c r="H105" s="139" t="str">
        <f ca="1">IFERROR(DATE(YEAR(NOW()),VLOOKUP(I105,'Banco de Dados'!V:W,2,FALSE),VLOOKUP(B105&amp;C105,'Banco de Dados'!$I:$M,5,FALSE)),"")</f>
        <v/>
      </c>
      <c r="I105" s="4"/>
      <c r="J105" s="4"/>
      <c r="K105" s="4"/>
      <c r="L105" s="4"/>
      <c r="M105" s="128" t="str">
        <f>IFERROR(VLOOKUP(B105&amp;C105,'Banco de Dados'!$I:$N,6,FALSE),"")</f>
        <v/>
      </c>
      <c r="N105" s="141" t="str">
        <f t="shared" si="3"/>
        <v/>
      </c>
    </row>
    <row r="106" spans="1:14" x14ac:dyDescent="0.25">
      <c r="A106" s="137" t="str">
        <f t="shared" si="2"/>
        <v/>
      </c>
      <c r="B106" s="4"/>
      <c r="C106" s="4"/>
      <c r="D106" s="4"/>
      <c r="E106" s="137" t="str">
        <f>IFERROR(VLOOKUP(B106&amp;C106,'Banco de Dados'!$I:$L,4,FALSE),"")</f>
        <v/>
      </c>
      <c r="F106" s="137" t="str">
        <f>IFERROR(VLOOKUP(B106&amp;C106,'Banco de Dados'!$I:$L,3,FALSE),"")</f>
        <v/>
      </c>
      <c r="G106" s="125"/>
      <c r="H106" s="139" t="str">
        <f ca="1">IFERROR(DATE(YEAR(NOW()),VLOOKUP(I106,'Banco de Dados'!V:W,2,FALSE),VLOOKUP(B106&amp;C106,'Banco de Dados'!$I:$M,5,FALSE)),"")</f>
        <v/>
      </c>
      <c r="I106" s="4"/>
      <c r="J106" s="4"/>
      <c r="K106" s="4"/>
      <c r="L106" s="4"/>
      <c r="M106" s="128" t="str">
        <f>IFERROR(VLOOKUP(B106&amp;C106,'Banco de Dados'!$I:$N,6,FALSE),"")</f>
        <v/>
      </c>
      <c r="N106" s="141" t="str">
        <f t="shared" si="3"/>
        <v/>
      </c>
    </row>
    <row r="107" spans="1:14" x14ac:dyDescent="0.25">
      <c r="A107" s="137" t="str">
        <f t="shared" si="2"/>
        <v/>
      </c>
      <c r="B107" s="4"/>
      <c r="C107" s="4"/>
      <c r="D107" s="4"/>
      <c r="E107" s="137" t="str">
        <f>IFERROR(VLOOKUP(B107&amp;C107,'Banco de Dados'!$I:$L,4,FALSE),"")</f>
        <v/>
      </c>
      <c r="F107" s="137" t="str">
        <f>IFERROR(VLOOKUP(B107&amp;C107,'Banco de Dados'!$I:$L,3,FALSE),"")</f>
        <v/>
      </c>
      <c r="G107" s="125"/>
      <c r="H107" s="139" t="str">
        <f ca="1">IFERROR(DATE(YEAR(NOW()),VLOOKUP(I107,'Banco de Dados'!V:W,2,FALSE),VLOOKUP(B107&amp;C107,'Banco de Dados'!$I:$M,5,FALSE)),"")</f>
        <v/>
      </c>
      <c r="I107" s="4"/>
      <c r="J107" s="4"/>
      <c r="K107" s="4"/>
      <c r="L107" s="4"/>
      <c r="M107" s="128" t="str">
        <f>IFERROR(VLOOKUP(B107&amp;C107,'Banco de Dados'!$I:$N,6,FALSE),"")</f>
        <v/>
      </c>
      <c r="N107" s="141" t="str">
        <f t="shared" si="3"/>
        <v/>
      </c>
    </row>
    <row r="108" spans="1:14" x14ac:dyDescent="0.25">
      <c r="A108" s="137" t="str">
        <f t="shared" si="2"/>
        <v/>
      </c>
      <c r="B108" s="4"/>
      <c r="C108" s="4"/>
      <c r="D108" s="4"/>
      <c r="E108" s="137" t="str">
        <f>IFERROR(VLOOKUP(B108&amp;C108,'Banco de Dados'!$I:$L,4,FALSE),"")</f>
        <v/>
      </c>
      <c r="F108" s="137" t="str">
        <f>IFERROR(VLOOKUP(B108&amp;C108,'Banco de Dados'!$I:$L,3,FALSE),"")</f>
        <v/>
      </c>
      <c r="G108" s="125"/>
      <c r="H108" s="139" t="str">
        <f ca="1">IFERROR(DATE(YEAR(NOW()),VLOOKUP(I108,'Banco de Dados'!V:W,2,FALSE),VLOOKUP(B108&amp;C108,'Banco de Dados'!$I:$M,5,FALSE)),"")</f>
        <v/>
      </c>
      <c r="I108" s="4"/>
      <c r="J108" s="4"/>
      <c r="K108" s="4"/>
      <c r="L108" s="4"/>
      <c r="M108" s="128" t="str">
        <f>IFERROR(VLOOKUP(B108&amp;C108,'Banco de Dados'!$I:$N,6,FALSE),"")</f>
        <v/>
      </c>
      <c r="N108" s="141" t="str">
        <f t="shared" si="3"/>
        <v/>
      </c>
    </row>
    <row r="109" spans="1:14" x14ac:dyDescent="0.25">
      <c r="A109" s="137" t="str">
        <f t="shared" si="2"/>
        <v/>
      </c>
      <c r="B109" s="4"/>
      <c r="C109" s="4"/>
      <c r="D109" s="4"/>
      <c r="E109" s="137" t="str">
        <f>IFERROR(VLOOKUP(B109&amp;C109,'Banco de Dados'!$I:$L,4,FALSE),"")</f>
        <v/>
      </c>
      <c r="F109" s="137" t="str">
        <f>IFERROR(VLOOKUP(B109&amp;C109,'Banco de Dados'!$I:$L,3,FALSE),"")</f>
        <v/>
      </c>
      <c r="G109" s="125"/>
      <c r="H109" s="139" t="str">
        <f ca="1">IFERROR(DATE(YEAR(NOW()),VLOOKUP(I109,'Banco de Dados'!V:W,2,FALSE),VLOOKUP(B109&amp;C109,'Banco de Dados'!$I:$M,5,FALSE)),"")</f>
        <v/>
      </c>
      <c r="I109" s="4"/>
      <c r="J109" s="4"/>
      <c r="K109" s="4"/>
      <c r="L109" s="4"/>
      <c r="M109" s="128" t="str">
        <f>IFERROR(VLOOKUP(B109&amp;C109,'Banco de Dados'!$I:$N,6,FALSE),"")</f>
        <v/>
      </c>
      <c r="N109" s="141" t="str">
        <f t="shared" si="3"/>
        <v/>
      </c>
    </row>
    <row r="110" spans="1:14" x14ac:dyDescent="0.25">
      <c r="A110" s="137" t="str">
        <f t="shared" si="2"/>
        <v/>
      </c>
      <c r="B110" s="4"/>
      <c r="C110" s="4"/>
      <c r="D110" s="4"/>
      <c r="E110" s="137" t="str">
        <f>IFERROR(VLOOKUP(B110&amp;C110,'Banco de Dados'!$I:$L,4,FALSE),"")</f>
        <v/>
      </c>
      <c r="F110" s="137" t="str">
        <f>IFERROR(VLOOKUP(B110&amp;C110,'Banco de Dados'!$I:$L,3,FALSE),"")</f>
        <v/>
      </c>
      <c r="G110" s="125"/>
      <c r="H110" s="139" t="str">
        <f ca="1">IFERROR(DATE(YEAR(NOW()),VLOOKUP(I110,'Banco de Dados'!V:W,2,FALSE),VLOOKUP(B110&amp;C110,'Banco de Dados'!$I:$M,5,FALSE)),"")</f>
        <v/>
      </c>
      <c r="I110" s="4"/>
      <c r="J110" s="4"/>
      <c r="K110" s="4"/>
      <c r="L110" s="4"/>
      <c r="M110" s="128" t="str">
        <f>IFERROR(VLOOKUP(B110&amp;C110,'Banco de Dados'!$I:$N,6,FALSE),"")</f>
        <v/>
      </c>
      <c r="N110" s="141" t="str">
        <f t="shared" si="3"/>
        <v/>
      </c>
    </row>
    <row r="111" spans="1:14" x14ac:dyDescent="0.25">
      <c r="A111" s="137" t="str">
        <f t="shared" si="2"/>
        <v/>
      </c>
      <c r="B111" s="4"/>
      <c r="C111" s="4"/>
      <c r="D111" s="4"/>
      <c r="E111" s="137" t="str">
        <f>IFERROR(VLOOKUP(B111&amp;C111,'Banco de Dados'!$I:$L,4,FALSE),"")</f>
        <v/>
      </c>
      <c r="F111" s="137" t="str">
        <f>IFERROR(VLOOKUP(B111&amp;C111,'Banco de Dados'!$I:$L,3,FALSE),"")</f>
        <v/>
      </c>
      <c r="G111" s="125"/>
      <c r="H111" s="139" t="str">
        <f ca="1">IFERROR(DATE(YEAR(NOW()),VLOOKUP(I111,'Banco de Dados'!V:W,2,FALSE),VLOOKUP(B111&amp;C111,'Banco de Dados'!$I:$M,5,FALSE)),"")</f>
        <v/>
      </c>
      <c r="I111" s="4"/>
      <c r="J111" s="4"/>
      <c r="K111" s="4"/>
      <c r="L111" s="4"/>
      <c r="M111" s="128" t="str">
        <f>IFERROR(VLOOKUP(B111&amp;C111,'Banco de Dados'!$I:$N,6,FALSE),"")</f>
        <v/>
      </c>
      <c r="N111" s="141" t="str">
        <f t="shared" si="3"/>
        <v/>
      </c>
    </row>
    <row r="112" spans="1:14" x14ac:dyDescent="0.25">
      <c r="A112" s="137" t="str">
        <f t="shared" si="2"/>
        <v/>
      </c>
      <c r="B112" s="4"/>
      <c r="C112" s="4"/>
      <c r="D112" s="4"/>
      <c r="E112" s="137" t="str">
        <f>IFERROR(VLOOKUP(B112&amp;C112,'Banco de Dados'!$I:$L,4,FALSE),"")</f>
        <v/>
      </c>
      <c r="F112" s="137" t="str">
        <f>IFERROR(VLOOKUP(B112&amp;C112,'Banco de Dados'!$I:$L,3,FALSE),"")</f>
        <v/>
      </c>
      <c r="G112" s="125"/>
      <c r="H112" s="139" t="str">
        <f ca="1">IFERROR(DATE(YEAR(NOW()),VLOOKUP(I112,'Banco de Dados'!V:W,2,FALSE),VLOOKUP(B112&amp;C112,'Banco de Dados'!$I:$M,5,FALSE)),"")</f>
        <v/>
      </c>
      <c r="I112" s="4"/>
      <c r="J112" s="4"/>
      <c r="K112" s="4"/>
      <c r="L112" s="4"/>
      <c r="M112" s="128" t="str">
        <f>IFERROR(VLOOKUP(B112&amp;C112,'Banco de Dados'!$I:$N,6,FALSE),"")</f>
        <v/>
      </c>
      <c r="N112" s="141" t="str">
        <f t="shared" si="3"/>
        <v/>
      </c>
    </row>
    <row r="113" spans="1:14" x14ac:dyDescent="0.25">
      <c r="A113" s="137" t="str">
        <f t="shared" si="2"/>
        <v/>
      </c>
      <c r="B113" s="4"/>
      <c r="C113" s="4"/>
      <c r="D113" s="4"/>
      <c r="E113" s="137" t="str">
        <f>IFERROR(VLOOKUP(B113&amp;C113,'Banco de Dados'!$I:$L,4,FALSE),"")</f>
        <v/>
      </c>
      <c r="F113" s="137" t="str">
        <f>IFERROR(VLOOKUP(B113&amp;C113,'Banco de Dados'!$I:$L,3,FALSE),"")</f>
        <v/>
      </c>
      <c r="G113" s="125"/>
      <c r="H113" s="139" t="str">
        <f ca="1">IFERROR(DATE(YEAR(NOW()),VLOOKUP(I113,'Banco de Dados'!V:W,2,FALSE),VLOOKUP(B113&amp;C113,'Banco de Dados'!$I:$M,5,FALSE)),"")</f>
        <v/>
      </c>
      <c r="I113" s="4"/>
      <c r="J113" s="4"/>
      <c r="K113" s="4"/>
      <c r="L113" s="4"/>
      <c r="M113" s="128" t="str">
        <f>IFERROR(VLOOKUP(B113&amp;C113,'Banco de Dados'!$I:$N,6,FALSE),"")</f>
        <v/>
      </c>
      <c r="N113" s="141" t="str">
        <f t="shared" si="3"/>
        <v/>
      </c>
    </row>
    <row r="114" spans="1:14" x14ac:dyDescent="0.25">
      <c r="A114" s="137" t="str">
        <f t="shared" si="2"/>
        <v/>
      </c>
      <c r="B114" s="4"/>
      <c r="C114" s="4"/>
      <c r="D114" s="4"/>
      <c r="E114" s="137" t="str">
        <f>IFERROR(VLOOKUP(B114&amp;C114,'Banco de Dados'!$I:$L,4,FALSE),"")</f>
        <v/>
      </c>
      <c r="F114" s="137" t="str">
        <f>IFERROR(VLOOKUP(B114&amp;C114,'Banco de Dados'!$I:$L,3,FALSE),"")</f>
        <v/>
      </c>
      <c r="G114" s="125"/>
      <c r="H114" s="139" t="str">
        <f ca="1">IFERROR(DATE(YEAR(NOW()),VLOOKUP(I114,'Banco de Dados'!V:W,2,FALSE),VLOOKUP(B114&amp;C114,'Banco de Dados'!$I:$M,5,FALSE)),"")</f>
        <v/>
      </c>
      <c r="I114" s="4"/>
      <c r="J114" s="4"/>
      <c r="K114" s="4"/>
      <c r="L114" s="4"/>
      <c r="M114" s="128" t="str">
        <f>IFERROR(VLOOKUP(B114&amp;C114,'Banco de Dados'!$I:$N,6,FALSE),"")</f>
        <v/>
      </c>
      <c r="N114" s="141" t="str">
        <f t="shared" si="3"/>
        <v/>
      </c>
    </row>
    <row r="115" spans="1:14" x14ac:dyDescent="0.25">
      <c r="A115" s="137" t="str">
        <f t="shared" si="2"/>
        <v/>
      </c>
      <c r="B115" s="4"/>
      <c r="C115" s="4"/>
      <c r="D115" s="4"/>
      <c r="E115" s="137" t="str">
        <f>IFERROR(VLOOKUP(B115&amp;C115,'Banco de Dados'!$I:$L,4,FALSE),"")</f>
        <v/>
      </c>
      <c r="F115" s="137" t="str">
        <f>IFERROR(VLOOKUP(B115&amp;C115,'Banco de Dados'!$I:$L,3,FALSE),"")</f>
        <v/>
      </c>
      <c r="G115" s="125"/>
      <c r="H115" s="139" t="str">
        <f ca="1">IFERROR(DATE(YEAR(NOW()),VLOOKUP(I115,'Banco de Dados'!V:W,2,FALSE),VLOOKUP(B115&amp;C115,'Banco de Dados'!$I:$M,5,FALSE)),"")</f>
        <v/>
      </c>
      <c r="I115" s="4"/>
      <c r="J115" s="4"/>
      <c r="K115" s="4"/>
      <c r="L115" s="4"/>
      <c r="M115" s="128" t="str">
        <f>IFERROR(VLOOKUP(B115&amp;C115,'Banco de Dados'!$I:$N,6,FALSE),"")</f>
        <v/>
      </c>
      <c r="N115" s="141" t="str">
        <f t="shared" si="3"/>
        <v/>
      </c>
    </row>
    <row r="116" spans="1:14" x14ac:dyDescent="0.25">
      <c r="A116" s="137" t="str">
        <f t="shared" si="2"/>
        <v/>
      </c>
      <c r="B116" s="4"/>
      <c r="C116" s="4"/>
      <c r="D116" s="4"/>
      <c r="E116" s="137" t="str">
        <f>IFERROR(VLOOKUP(B116&amp;C116,'Banco de Dados'!$I:$L,4,FALSE),"")</f>
        <v/>
      </c>
      <c r="F116" s="137" t="str">
        <f>IFERROR(VLOOKUP(B116&amp;C116,'Banco de Dados'!$I:$L,3,FALSE),"")</f>
        <v/>
      </c>
      <c r="G116" s="125"/>
      <c r="H116" s="139" t="str">
        <f ca="1">IFERROR(DATE(YEAR(NOW()),VLOOKUP(I116,'Banco de Dados'!V:W,2,FALSE),VLOOKUP(B116&amp;C116,'Banco de Dados'!$I:$M,5,FALSE)),"")</f>
        <v/>
      </c>
      <c r="I116" s="4"/>
      <c r="J116" s="4"/>
      <c r="K116" s="4"/>
      <c r="L116" s="4"/>
      <c r="M116" s="128" t="str">
        <f>IFERROR(VLOOKUP(B116&amp;C116,'Banco de Dados'!$I:$N,6,FALSE),"")</f>
        <v/>
      </c>
      <c r="N116" s="141" t="str">
        <f t="shared" si="3"/>
        <v/>
      </c>
    </row>
    <row r="117" spans="1:14" x14ac:dyDescent="0.25">
      <c r="A117" s="137" t="str">
        <f t="shared" si="2"/>
        <v/>
      </c>
      <c r="B117" s="4"/>
      <c r="C117" s="4"/>
      <c r="D117" s="4"/>
      <c r="E117" s="137" t="str">
        <f>IFERROR(VLOOKUP(B117&amp;C117,'Banco de Dados'!$I:$L,4,FALSE),"")</f>
        <v/>
      </c>
      <c r="F117" s="137" t="str">
        <f>IFERROR(VLOOKUP(B117&amp;C117,'Banco de Dados'!$I:$L,3,FALSE),"")</f>
        <v/>
      </c>
      <c r="G117" s="125"/>
      <c r="H117" s="139" t="str">
        <f ca="1">IFERROR(DATE(YEAR(NOW()),VLOOKUP(I117,'Banco de Dados'!V:W,2,FALSE),VLOOKUP(B117&amp;C117,'Banco de Dados'!$I:$M,5,FALSE)),"")</f>
        <v/>
      </c>
      <c r="I117" s="4"/>
      <c r="J117" s="4"/>
      <c r="K117" s="4"/>
      <c r="L117" s="4"/>
      <c r="M117" s="128" t="str">
        <f>IFERROR(VLOOKUP(B117&amp;C117,'Banco de Dados'!$I:$N,6,FALSE),"")</f>
        <v/>
      </c>
      <c r="N117" s="141" t="str">
        <f t="shared" si="3"/>
        <v/>
      </c>
    </row>
    <row r="118" spans="1:14" x14ac:dyDescent="0.25">
      <c r="A118" s="137" t="str">
        <f t="shared" si="2"/>
        <v/>
      </c>
      <c r="B118" s="4"/>
      <c r="C118" s="4"/>
      <c r="D118" s="4"/>
      <c r="E118" s="137" t="str">
        <f>IFERROR(VLOOKUP(B118&amp;C118,'Banco de Dados'!$I:$L,4,FALSE),"")</f>
        <v/>
      </c>
      <c r="F118" s="137" t="str">
        <f>IFERROR(VLOOKUP(B118&amp;C118,'Banco de Dados'!$I:$L,3,FALSE),"")</f>
        <v/>
      </c>
      <c r="G118" s="125"/>
      <c r="H118" s="139" t="str">
        <f ca="1">IFERROR(DATE(YEAR(NOW()),VLOOKUP(I118,'Banco de Dados'!V:W,2,FALSE),VLOOKUP(B118&amp;C118,'Banco de Dados'!$I:$M,5,FALSE)),"")</f>
        <v/>
      </c>
      <c r="I118" s="4"/>
      <c r="J118" s="4"/>
      <c r="K118" s="4"/>
      <c r="L118" s="4"/>
      <c r="M118" s="128" t="str">
        <f>IFERROR(VLOOKUP(B118&amp;C118,'Banco de Dados'!$I:$N,6,FALSE),"")</f>
        <v/>
      </c>
      <c r="N118" s="141" t="str">
        <f t="shared" si="3"/>
        <v/>
      </c>
    </row>
    <row r="119" spans="1:14" x14ac:dyDescent="0.25">
      <c r="A119" s="137" t="str">
        <f t="shared" si="2"/>
        <v/>
      </c>
      <c r="B119" s="4"/>
      <c r="C119" s="4"/>
      <c r="D119" s="4"/>
      <c r="E119" s="137" t="str">
        <f>IFERROR(VLOOKUP(B119&amp;C119,'Banco de Dados'!$I:$L,4,FALSE),"")</f>
        <v/>
      </c>
      <c r="F119" s="137" t="str">
        <f>IFERROR(VLOOKUP(B119&amp;C119,'Banco de Dados'!$I:$L,3,FALSE),"")</f>
        <v/>
      </c>
      <c r="G119" s="125"/>
      <c r="H119" s="139" t="str">
        <f ca="1">IFERROR(DATE(YEAR(NOW()),VLOOKUP(I119,'Banco de Dados'!V:W,2,FALSE),VLOOKUP(B119&amp;C119,'Banco de Dados'!$I:$M,5,FALSE)),"")</f>
        <v/>
      </c>
      <c r="I119" s="4"/>
      <c r="J119" s="4"/>
      <c r="K119" s="4"/>
      <c r="L119" s="4"/>
      <c r="M119" s="128" t="str">
        <f>IFERROR(VLOOKUP(B119&amp;C119,'Banco de Dados'!$I:$N,6,FALSE),"")</f>
        <v/>
      </c>
      <c r="N119" s="141" t="str">
        <f t="shared" si="3"/>
        <v/>
      </c>
    </row>
    <row r="120" spans="1:14" x14ac:dyDescent="0.25">
      <c r="A120" s="137" t="str">
        <f t="shared" si="2"/>
        <v/>
      </c>
      <c r="B120" s="4"/>
      <c r="C120" s="4"/>
      <c r="D120" s="4"/>
      <c r="E120" s="137" t="str">
        <f>IFERROR(VLOOKUP(B120&amp;C120,'Banco de Dados'!$I:$L,4,FALSE),"")</f>
        <v/>
      </c>
      <c r="F120" s="137" t="str">
        <f>IFERROR(VLOOKUP(B120&amp;C120,'Banco de Dados'!$I:$L,3,FALSE),"")</f>
        <v/>
      </c>
      <c r="G120" s="125"/>
      <c r="H120" s="139" t="str">
        <f ca="1">IFERROR(DATE(YEAR(NOW()),VLOOKUP(I120,'Banco de Dados'!V:W,2,FALSE),VLOOKUP(B120&amp;C120,'Banco de Dados'!$I:$M,5,FALSE)),"")</f>
        <v/>
      </c>
      <c r="I120" s="4"/>
      <c r="J120" s="4"/>
      <c r="K120" s="4"/>
      <c r="L120" s="4"/>
      <c r="M120" s="128" t="str">
        <f>IFERROR(VLOOKUP(B120&amp;C120,'Banco de Dados'!$I:$N,6,FALSE),"")</f>
        <v/>
      </c>
      <c r="N120" s="141" t="str">
        <f t="shared" si="3"/>
        <v/>
      </c>
    </row>
    <row r="121" spans="1:14" x14ac:dyDescent="0.25">
      <c r="A121" s="137" t="str">
        <f t="shared" si="2"/>
        <v/>
      </c>
      <c r="B121" s="4"/>
      <c r="C121" s="4"/>
      <c r="D121" s="4"/>
      <c r="E121" s="137" t="str">
        <f>IFERROR(VLOOKUP(B121&amp;C121,'Banco de Dados'!$I:$L,4,FALSE),"")</f>
        <v/>
      </c>
      <c r="F121" s="137" t="str">
        <f>IFERROR(VLOOKUP(B121&amp;C121,'Banco de Dados'!$I:$L,3,FALSE),"")</f>
        <v/>
      </c>
      <c r="G121" s="125"/>
      <c r="H121" s="139" t="str">
        <f ca="1">IFERROR(DATE(YEAR(NOW()),VLOOKUP(I121,'Banco de Dados'!V:W,2,FALSE),VLOOKUP(B121&amp;C121,'Banco de Dados'!$I:$M,5,FALSE)),"")</f>
        <v/>
      </c>
      <c r="I121" s="4"/>
      <c r="J121" s="4"/>
      <c r="K121" s="4"/>
      <c r="L121" s="4"/>
      <c r="M121" s="128" t="str">
        <f>IFERROR(VLOOKUP(B121&amp;C121,'Banco de Dados'!$I:$N,6,FALSE),"")</f>
        <v/>
      </c>
      <c r="N121" s="141" t="str">
        <f t="shared" si="3"/>
        <v/>
      </c>
    </row>
    <row r="122" spans="1:14" x14ac:dyDescent="0.25">
      <c r="A122" s="137" t="str">
        <f t="shared" si="2"/>
        <v/>
      </c>
      <c r="B122" s="4"/>
      <c r="C122" s="4"/>
      <c r="D122" s="4"/>
      <c r="E122" s="137" t="str">
        <f>IFERROR(VLOOKUP(B122&amp;C122,'Banco de Dados'!$I:$L,4,FALSE),"")</f>
        <v/>
      </c>
      <c r="F122" s="137" t="str">
        <f>IFERROR(VLOOKUP(B122&amp;C122,'Banco de Dados'!$I:$L,3,FALSE),"")</f>
        <v/>
      </c>
      <c r="G122" s="125"/>
      <c r="H122" s="139" t="str">
        <f ca="1">IFERROR(DATE(YEAR(NOW()),VLOOKUP(I122,'Banco de Dados'!V:W,2,FALSE),VLOOKUP(B122&amp;C122,'Banco de Dados'!$I:$M,5,FALSE)),"")</f>
        <v/>
      </c>
      <c r="I122" s="4"/>
      <c r="J122" s="4"/>
      <c r="K122" s="4"/>
      <c r="L122" s="4"/>
      <c r="M122" s="128" t="str">
        <f>IFERROR(VLOOKUP(B122&amp;C122,'Banco de Dados'!$I:$N,6,FALSE),"")</f>
        <v/>
      </c>
      <c r="N122" s="141" t="str">
        <f t="shared" si="3"/>
        <v/>
      </c>
    </row>
    <row r="123" spans="1:14" x14ac:dyDescent="0.25">
      <c r="A123" s="137" t="str">
        <f t="shared" si="2"/>
        <v/>
      </c>
      <c r="B123" s="4"/>
      <c r="C123" s="4"/>
      <c r="D123" s="4"/>
      <c r="E123" s="137" t="str">
        <f>IFERROR(VLOOKUP(B123&amp;C123,'Banco de Dados'!$I:$L,4,FALSE),"")</f>
        <v/>
      </c>
      <c r="F123" s="137" t="str">
        <f>IFERROR(VLOOKUP(B123&amp;C123,'Banco de Dados'!$I:$L,3,FALSE),"")</f>
        <v/>
      </c>
      <c r="G123" s="125"/>
      <c r="H123" s="139" t="str">
        <f ca="1">IFERROR(DATE(YEAR(NOW()),VLOOKUP(I123,'Banco de Dados'!V:W,2,FALSE),VLOOKUP(B123&amp;C123,'Banco de Dados'!$I:$M,5,FALSE)),"")</f>
        <v/>
      </c>
      <c r="I123" s="4"/>
      <c r="J123" s="4"/>
      <c r="K123" s="4"/>
      <c r="L123" s="4"/>
      <c r="M123" s="128" t="str">
        <f>IFERROR(VLOOKUP(B123&amp;C123,'Banco de Dados'!$I:$N,6,FALSE),"")</f>
        <v/>
      </c>
      <c r="N123" s="141" t="str">
        <f t="shared" si="3"/>
        <v/>
      </c>
    </row>
    <row r="124" spans="1:14" x14ac:dyDescent="0.25">
      <c r="A124" s="137" t="str">
        <f t="shared" si="2"/>
        <v/>
      </c>
      <c r="B124" s="4"/>
      <c r="C124" s="4"/>
      <c r="D124" s="4"/>
      <c r="E124" s="137" t="str">
        <f>IFERROR(VLOOKUP(B124&amp;C124,'Banco de Dados'!$I:$L,4,FALSE),"")</f>
        <v/>
      </c>
      <c r="F124" s="137" t="str">
        <f>IFERROR(VLOOKUP(B124&amp;C124,'Banco de Dados'!$I:$L,3,FALSE),"")</f>
        <v/>
      </c>
      <c r="G124" s="125"/>
      <c r="H124" s="139" t="str">
        <f ca="1">IFERROR(DATE(YEAR(NOW()),VLOOKUP(I124,'Banco de Dados'!V:W,2,FALSE),VLOOKUP(B124&amp;C124,'Banco de Dados'!$I:$M,5,FALSE)),"")</f>
        <v/>
      </c>
      <c r="I124" s="4"/>
      <c r="J124" s="4"/>
      <c r="K124" s="4"/>
      <c r="L124" s="4"/>
      <c r="M124" s="128" t="str">
        <f>IFERROR(VLOOKUP(B124&amp;C124,'Banco de Dados'!$I:$N,6,FALSE),"")</f>
        <v/>
      </c>
      <c r="N124" s="141" t="str">
        <f t="shared" si="3"/>
        <v/>
      </c>
    </row>
    <row r="125" spans="1:14" x14ac:dyDescent="0.25">
      <c r="A125" s="137" t="str">
        <f t="shared" si="2"/>
        <v/>
      </c>
      <c r="B125" s="4"/>
      <c r="C125" s="4"/>
      <c r="D125" s="4"/>
      <c r="E125" s="137" t="str">
        <f>IFERROR(VLOOKUP(B125&amp;C125,'Banco de Dados'!$I:$L,4,FALSE),"")</f>
        <v/>
      </c>
      <c r="F125" s="137" t="str">
        <f>IFERROR(VLOOKUP(B125&amp;C125,'Banco de Dados'!$I:$L,3,FALSE),"")</f>
        <v/>
      </c>
      <c r="G125" s="125"/>
      <c r="H125" s="139" t="str">
        <f ca="1">IFERROR(DATE(YEAR(NOW()),VLOOKUP(I125,'Banco de Dados'!V:W,2,FALSE),VLOOKUP(B125&amp;C125,'Banco de Dados'!$I:$M,5,FALSE)),"")</f>
        <v/>
      </c>
      <c r="I125" s="4"/>
      <c r="J125" s="4"/>
      <c r="K125" s="4"/>
      <c r="L125" s="4"/>
      <c r="M125" s="128" t="str">
        <f>IFERROR(VLOOKUP(B125&amp;C125,'Banco de Dados'!$I:$N,6,FALSE),"")</f>
        <v/>
      </c>
      <c r="N125" s="141" t="str">
        <f t="shared" si="3"/>
        <v/>
      </c>
    </row>
    <row r="126" spans="1:14" x14ac:dyDescent="0.25">
      <c r="A126" s="137" t="str">
        <f t="shared" si="2"/>
        <v/>
      </c>
      <c r="B126" s="4"/>
      <c r="C126" s="4"/>
      <c r="D126" s="4"/>
      <c r="E126" s="137" t="str">
        <f>IFERROR(VLOOKUP(B126&amp;C126,'Banco de Dados'!$I:$L,4,FALSE),"")</f>
        <v/>
      </c>
      <c r="F126" s="137" t="str">
        <f>IFERROR(VLOOKUP(B126&amp;C126,'Banco de Dados'!$I:$L,3,FALSE),"")</f>
        <v/>
      </c>
      <c r="G126" s="125"/>
      <c r="H126" s="139" t="str">
        <f ca="1">IFERROR(DATE(YEAR(NOW()),VLOOKUP(I126,'Banco de Dados'!V:W,2,FALSE),VLOOKUP(B126&amp;C126,'Banco de Dados'!$I:$M,5,FALSE)),"")</f>
        <v/>
      </c>
      <c r="I126" s="4"/>
      <c r="J126" s="4"/>
      <c r="K126" s="4"/>
      <c r="L126" s="4"/>
      <c r="M126" s="128" t="str">
        <f>IFERROR(VLOOKUP(B126&amp;C126,'Banco de Dados'!$I:$N,6,FALSE),"")</f>
        <v/>
      </c>
      <c r="N126" s="141" t="str">
        <f t="shared" si="3"/>
        <v/>
      </c>
    </row>
    <row r="127" spans="1:14" x14ac:dyDescent="0.25">
      <c r="A127" s="137" t="str">
        <f t="shared" si="2"/>
        <v/>
      </c>
      <c r="B127" s="4"/>
      <c r="C127" s="4"/>
      <c r="D127" s="4"/>
      <c r="E127" s="137" t="str">
        <f>IFERROR(VLOOKUP(B127&amp;C127,'Banco de Dados'!$I:$L,4,FALSE),"")</f>
        <v/>
      </c>
      <c r="F127" s="137" t="str">
        <f>IFERROR(VLOOKUP(B127&amp;C127,'Banco de Dados'!$I:$L,3,FALSE),"")</f>
        <v/>
      </c>
      <c r="G127" s="125"/>
      <c r="H127" s="139" t="str">
        <f ca="1">IFERROR(DATE(YEAR(NOW()),VLOOKUP(I127,'Banco de Dados'!V:W,2,FALSE),VLOOKUP(B127&amp;C127,'Banco de Dados'!$I:$M,5,FALSE)),"")</f>
        <v/>
      </c>
      <c r="I127" s="4"/>
      <c r="J127" s="4"/>
      <c r="K127" s="4"/>
      <c r="L127" s="4"/>
      <c r="M127" s="128" t="str">
        <f>IFERROR(VLOOKUP(B127&amp;C127,'Banco de Dados'!$I:$N,6,FALSE),"")</f>
        <v/>
      </c>
      <c r="N127" s="141" t="str">
        <f t="shared" si="3"/>
        <v/>
      </c>
    </row>
    <row r="128" spans="1:14" x14ac:dyDescent="0.25">
      <c r="A128" s="137" t="str">
        <f t="shared" si="2"/>
        <v/>
      </c>
      <c r="B128" s="4"/>
      <c r="C128" s="4"/>
      <c r="D128" s="4"/>
      <c r="E128" s="137" t="str">
        <f>IFERROR(VLOOKUP(B128&amp;C128,'Banco de Dados'!$I:$L,4,FALSE),"")</f>
        <v/>
      </c>
      <c r="F128" s="137" t="str">
        <f>IFERROR(VLOOKUP(B128&amp;C128,'Banco de Dados'!$I:$L,3,FALSE),"")</f>
        <v/>
      </c>
      <c r="G128" s="125"/>
      <c r="H128" s="139" t="str">
        <f ca="1">IFERROR(DATE(YEAR(NOW()),VLOOKUP(I128,'Banco de Dados'!V:W,2,FALSE),VLOOKUP(B128&amp;C128,'Banco de Dados'!$I:$M,5,FALSE)),"")</f>
        <v/>
      </c>
      <c r="I128" s="4"/>
      <c r="J128" s="4"/>
      <c r="K128" s="4"/>
      <c r="L128" s="4"/>
      <c r="M128" s="128" t="str">
        <f>IFERROR(VLOOKUP(B128&amp;C128,'Banco de Dados'!$I:$N,6,FALSE),"")</f>
        <v/>
      </c>
      <c r="N128" s="141" t="str">
        <f t="shared" si="3"/>
        <v/>
      </c>
    </row>
    <row r="129" spans="1:14" x14ac:dyDescent="0.25">
      <c r="A129" s="137" t="str">
        <f t="shared" si="2"/>
        <v/>
      </c>
      <c r="B129" s="4"/>
      <c r="C129" s="4"/>
      <c r="D129" s="4"/>
      <c r="E129" s="137" t="str">
        <f>IFERROR(VLOOKUP(B129&amp;C129,'Banco de Dados'!$I:$L,4,FALSE),"")</f>
        <v/>
      </c>
      <c r="F129" s="137" t="str">
        <f>IFERROR(VLOOKUP(B129&amp;C129,'Banco de Dados'!$I:$L,3,FALSE),"")</f>
        <v/>
      </c>
      <c r="G129" s="125"/>
      <c r="H129" s="139" t="str">
        <f ca="1">IFERROR(DATE(YEAR(NOW()),VLOOKUP(I129,'Banco de Dados'!V:W,2,FALSE),VLOOKUP(B129&amp;C129,'Banco de Dados'!$I:$M,5,FALSE)),"")</f>
        <v/>
      </c>
      <c r="I129" s="4"/>
      <c r="J129" s="4"/>
      <c r="K129" s="4"/>
      <c r="L129" s="4"/>
      <c r="M129" s="128" t="str">
        <f>IFERROR(VLOOKUP(B129&amp;C129,'Banco de Dados'!$I:$N,6,FALSE),"")</f>
        <v/>
      </c>
      <c r="N129" s="141" t="str">
        <f t="shared" si="3"/>
        <v/>
      </c>
    </row>
    <row r="130" spans="1:14" x14ac:dyDescent="0.25">
      <c r="A130" s="137" t="str">
        <f t="shared" si="2"/>
        <v/>
      </c>
      <c r="B130" s="4"/>
      <c r="C130" s="4"/>
      <c r="D130" s="4"/>
      <c r="E130" s="137" t="str">
        <f>IFERROR(VLOOKUP(B130&amp;C130,'Banco de Dados'!$I:$L,4,FALSE),"")</f>
        <v/>
      </c>
      <c r="F130" s="137" t="str">
        <f>IFERROR(VLOOKUP(B130&amp;C130,'Banco de Dados'!$I:$L,3,FALSE),"")</f>
        <v/>
      </c>
      <c r="G130" s="125"/>
      <c r="H130" s="139" t="str">
        <f ca="1">IFERROR(DATE(YEAR(NOW()),VLOOKUP(I130,'Banco de Dados'!V:W,2,FALSE),VLOOKUP(B130&amp;C130,'Banco de Dados'!$I:$M,5,FALSE)),"")</f>
        <v/>
      </c>
      <c r="I130" s="4"/>
      <c r="J130" s="4"/>
      <c r="K130" s="4"/>
      <c r="L130" s="4"/>
      <c r="M130" s="128" t="str">
        <f>IFERROR(VLOOKUP(B130&amp;C130,'Banco de Dados'!$I:$N,6,FALSE),"")</f>
        <v/>
      </c>
      <c r="N130" s="141" t="str">
        <f t="shared" si="3"/>
        <v/>
      </c>
    </row>
    <row r="131" spans="1:14" x14ac:dyDescent="0.25">
      <c r="A131" s="137" t="str">
        <f t="shared" si="2"/>
        <v/>
      </c>
      <c r="B131" s="4"/>
      <c r="C131" s="4"/>
      <c r="D131" s="4"/>
      <c r="E131" s="137" t="str">
        <f>IFERROR(VLOOKUP(B131&amp;C131,'Banco de Dados'!$I:$L,4,FALSE),"")</f>
        <v/>
      </c>
      <c r="F131" s="137" t="str">
        <f>IFERROR(VLOOKUP(B131&amp;C131,'Banco de Dados'!$I:$L,3,FALSE),"")</f>
        <v/>
      </c>
      <c r="G131" s="125"/>
      <c r="H131" s="139" t="str">
        <f ca="1">IFERROR(DATE(YEAR(NOW()),VLOOKUP(I131,'Banco de Dados'!V:W,2,FALSE),VLOOKUP(B131&amp;C131,'Banco de Dados'!$I:$M,5,FALSE)),"")</f>
        <v/>
      </c>
      <c r="I131" s="4"/>
      <c r="J131" s="4"/>
      <c r="K131" s="4"/>
      <c r="L131" s="4"/>
      <c r="M131" s="128" t="str">
        <f>IFERROR(VLOOKUP(B131&amp;C131,'Banco de Dados'!$I:$N,6,FALSE),"")</f>
        <v/>
      </c>
      <c r="N131" s="141" t="str">
        <f t="shared" si="3"/>
        <v/>
      </c>
    </row>
    <row r="132" spans="1:14" x14ac:dyDescent="0.25">
      <c r="A132" s="137" t="str">
        <f t="shared" ref="A132:A195" si="4">IF(I132="","",IF(I132=I131,A131+1,1))</f>
        <v/>
      </c>
      <c r="B132" s="4"/>
      <c r="C132" s="4"/>
      <c r="D132" s="4"/>
      <c r="E132" s="137" t="str">
        <f>IFERROR(VLOOKUP(B132&amp;C132,'Banco de Dados'!$I:$L,4,FALSE),"")</f>
        <v/>
      </c>
      <c r="F132" s="137" t="str">
        <f>IFERROR(VLOOKUP(B132&amp;C132,'Banco de Dados'!$I:$L,3,FALSE),"")</f>
        <v/>
      </c>
      <c r="G132" s="125"/>
      <c r="H132" s="139" t="str">
        <f ca="1">IFERROR(DATE(YEAR(NOW()),VLOOKUP(I132,'Banco de Dados'!V:W,2,FALSE),VLOOKUP(B132&amp;C132,'Banco de Dados'!$I:$M,5,FALSE)),"")</f>
        <v/>
      </c>
      <c r="I132" s="4"/>
      <c r="J132" s="4"/>
      <c r="K132" s="4"/>
      <c r="L132" s="4"/>
      <c r="M132" s="128" t="str">
        <f>IFERROR(VLOOKUP(B132&amp;C132,'Banco de Dados'!$I:$N,6,FALSE),"")</f>
        <v/>
      </c>
      <c r="N132" s="141" t="str">
        <f t="shared" si="3"/>
        <v/>
      </c>
    </row>
    <row r="133" spans="1:14" x14ac:dyDescent="0.25">
      <c r="A133" s="137" t="str">
        <f t="shared" si="4"/>
        <v/>
      </c>
      <c r="B133" s="4"/>
      <c r="C133" s="4"/>
      <c r="D133" s="4"/>
      <c r="E133" s="137" t="str">
        <f>IFERROR(VLOOKUP(B133&amp;C133,'Banco de Dados'!$I:$L,4,FALSE),"")</f>
        <v/>
      </c>
      <c r="F133" s="137" t="str">
        <f>IFERROR(VLOOKUP(B133&amp;C133,'Banco de Dados'!$I:$L,3,FALSE),"")</f>
        <v/>
      </c>
      <c r="G133" s="125"/>
      <c r="H133" s="139" t="str">
        <f ca="1">IFERROR(DATE(YEAR(NOW()),VLOOKUP(I133,'Banco de Dados'!V:W,2,FALSE),VLOOKUP(B133&amp;C133,'Banco de Dados'!$I:$M,5,FALSE)),"")</f>
        <v/>
      </c>
      <c r="I133" s="4"/>
      <c r="J133" s="4"/>
      <c r="K133" s="4"/>
      <c r="L133" s="4"/>
      <c r="M133" s="128" t="str">
        <f>IFERROR(VLOOKUP(B133&amp;C133,'Banco de Dados'!$I:$N,6,FALSE),"")</f>
        <v/>
      </c>
      <c r="N133" s="141" t="str">
        <f t="shared" ref="N133:N196" si="5">IFERROR((G133-M133)/ABS(G133),"")</f>
        <v/>
      </c>
    </row>
    <row r="134" spans="1:14" x14ac:dyDescent="0.25">
      <c r="A134" s="137" t="str">
        <f t="shared" si="4"/>
        <v/>
      </c>
      <c r="B134" s="4"/>
      <c r="C134" s="4"/>
      <c r="D134" s="4"/>
      <c r="E134" s="137" t="str">
        <f>IFERROR(VLOOKUP(B134&amp;C134,'Banco de Dados'!$I:$L,4,FALSE),"")</f>
        <v/>
      </c>
      <c r="F134" s="137" t="str">
        <f>IFERROR(VLOOKUP(B134&amp;C134,'Banco de Dados'!$I:$L,3,FALSE),"")</f>
        <v/>
      </c>
      <c r="G134" s="125"/>
      <c r="H134" s="139" t="str">
        <f ca="1">IFERROR(DATE(YEAR(NOW()),VLOOKUP(I134,'Banco de Dados'!V:W,2,FALSE),VLOOKUP(B134&amp;C134,'Banco de Dados'!$I:$M,5,FALSE)),"")</f>
        <v/>
      </c>
      <c r="I134" s="4"/>
      <c r="J134" s="4"/>
      <c r="K134" s="4"/>
      <c r="L134" s="4"/>
      <c r="M134" s="128" t="str">
        <f>IFERROR(VLOOKUP(B134&amp;C134,'Banco de Dados'!$I:$N,6,FALSE),"")</f>
        <v/>
      </c>
      <c r="N134" s="141" t="str">
        <f t="shared" si="5"/>
        <v/>
      </c>
    </row>
    <row r="135" spans="1:14" x14ac:dyDescent="0.25">
      <c r="A135" s="137" t="str">
        <f t="shared" si="4"/>
        <v/>
      </c>
      <c r="B135" s="4"/>
      <c r="C135" s="4"/>
      <c r="D135" s="4"/>
      <c r="E135" s="137" t="str">
        <f>IFERROR(VLOOKUP(B135&amp;C135,'Banco de Dados'!$I:$L,4,FALSE),"")</f>
        <v/>
      </c>
      <c r="F135" s="137" t="str">
        <f>IFERROR(VLOOKUP(B135&amp;C135,'Banco de Dados'!$I:$L,3,FALSE),"")</f>
        <v/>
      </c>
      <c r="G135" s="125"/>
      <c r="H135" s="139" t="str">
        <f ca="1">IFERROR(DATE(YEAR(NOW()),VLOOKUP(I135,'Banco de Dados'!V:W,2,FALSE),VLOOKUP(B135&amp;C135,'Banco de Dados'!$I:$M,5,FALSE)),"")</f>
        <v/>
      </c>
      <c r="I135" s="4"/>
      <c r="J135" s="4"/>
      <c r="K135" s="4"/>
      <c r="L135" s="4"/>
      <c r="M135" s="128" t="str">
        <f>IFERROR(VLOOKUP(B135&amp;C135,'Banco de Dados'!$I:$N,6,FALSE),"")</f>
        <v/>
      </c>
      <c r="N135" s="141" t="str">
        <f t="shared" si="5"/>
        <v/>
      </c>
    </row>
    <row r="136" spans="1:14" x14ac:dyDescent="0.25">
      <c r="A136" s="137" t="str">
        <f t="shared" si="4"/>
        <v/>
      </c>
      <c r="B136" s="4"/>
      <c r="C136" s="4"/>
      <c r="D136" s="4"/>
      <c r="E136" s="137" t="str">
        <f>IFERROR(VLOOKUP(B136&amp;C136,'Banco de Dados'!$I:$L,4,FALSE),"")</f>
        <v/>
      </c>
      <c r="F136" s="137" t="str">
        <f>IFERROR(VLOOKUP(B136&amp;C136,'Banco de Dados'!$I:$L,3,FALSE),"")</f>
        <v/>
      </c>
      <c r="G136" s="125"/>
      <c r="H136" s="139" t="str">
        <f ca="1">IFERROR(DATE(YEAR(NOW()),VLOOKUP(I136,'Banco de Dados'!V:W,2,FALSE),VLOOKUP(B136&amp;C136,'Banco de Dados'!$I:$M,5,FALSE)),"")</f>
        <v/>
      </c>
      <c r="I136" s="4"/>
      <c r="J136" s="4"/>
      <c r="K136" s="4"/>
      <c r="L136" s="4"/>
      <c r="M136" s="128" t="str">
        <f>IFERROR(VLOOKUP(B136&amp;C136,'Banco de Dados'!$I:$N,6,FALSE),"")</f>
        <v/>
      </c>
      <c r="N136" s="141" t="str">
        <f t="shared" si="5"/>
        <v/>
      </c>
    </row>
    <row r="137" spans="1:14" x14ac:dyDescent="0.25">
      <c r="A137" s="137" t="str">
        <f t="shared" si="4"/>
        <v/>
      </c>
      <c r="B137" s="4"/>
      <c r="C137" s="4"/>
      <c r="D137" s="4"/>
      <c r="E137" s="137" t="str">
        <f>IFERROR(VLOOKUP(B137&amp;C137,'Banco de Dados'!$I:$L,4,FALSE),"")</f>
        <v/>
      </c>
      <c r="F137" s="137" t="str">
        <f>IFERROR(VLOOKUP(B137&amp;C137,'Banco de Dados'!$I:$L,3,FALSE),"")</f>
        <v/>
      </c>
      <c r="G137" s="125"/>
      <c r="H137" s="139" t="str">
        <f ca="1">IFERROR(DATE(YEAR(NOW()),VLOOKUP(I137,'Banco de Dados'!V:W,2,FALSE),VLOOKUP(B137&amp;C137,'Banco de Dados'!$I:$M,5,FALSE)),"")</f>
        <v/>
      </c>
      <c r="I137" s="4"/>
      <c r="J137" s="4"/>
      <c r="K137" s="4"/>
      <c r="L137" s="4"/>
      <c r="M137" s="128" t="str">
        <f>IFERROR(VLOOKUP(B137&amp;C137,'Banco de Dados'!$I:$N,6,FALSE),"")</f>
        <v/>
      </c>
      <c r="N137" s="141" t="str">
        <f t="shared" si="5"/>
        <v/>
      </c>
    </row>
    <row r="138" spans="1:14" x14ac:dyDescent="0.25">
      <c r="A138" s="137" t="str">
        <f t="shared" si="4"/>
        <v/>
      </c>
      <c r="B138" s="4"/>
      <c r="C138" s="4"/>
      <c r="D138" s="4"/>
      <c r="E138" s="137" t="str">
        <f>IFERROR(VLOOKUP(B138&amp;C138,'Banco de Dados'!$I:$L,4,FALSE),"")</f>
        <v/>
      </c>
      <c r="F138" s="137" t="str">
        <f>IFERROR(VLOOKUP(B138&amp;C138,'Banco de Dados'!$I:$L,3,FALSE),"")</f>
        <v/>
      </c>
      <c r="G138" s="125"/>
      <c r="H138" s="139" t="str">
        <f ca="1">IFERROR(DATE(YEAR(NOW()),VLOOKUP(I138,'Banco de Dados'!V:W,2,FALSE),VLOOKUP(B138&amp;C138,'Banco de Dados'!$I:$M,5,FALSE)),"")</f>
        <v/>
      </c>
      <c r="I138" s="4"/>
      <c r="J138" s="4"/>
      <c r="K138" s="4"/>
      <c r="L138" s="4"/>
      <c r="M138" s="128" t="str">
        <f>IFERROR(VLOOKUP(B138&amp;C138,'Banco de Dados'!$I:$N,6,FALSE),"")</f>
        <v/>
      </c>
      <c r="N138" s="141" t="str">
        <f t="shared" si="5"/>
        <v/>
      </c>
    </row>
    <row r="139" spans="1:14" x14ac:dyDescent="0.25">
      <c r="A139" s="137" t="str">
        <f t="shared" si="4"/>
        <v/>
      </c>
      <c r="B139" s="4"/>
      <c r="C139" s="4"/>
      <c r="D139" s="4"/>
      <c r="E139" s="137" t="str">
        <f>IFERROR(VLOOKUP(B139&amp;C139,'Banco de Dados'!$I:$L,4,FALSE),"")</f>
        <v/>
      </c>
      <c r="F139" s="137" t="str">
        <f>IFERROR(VLOOKUP(B139&amp;C139,'Banco de Dados'!$I:$L,3,FALSE),"")</f>
        <v/>
      </c>
      <c r="G139" s="125"/>
      <c r="H139" s="139" t="str">
        <f ca="1">IFERROR(DATE(YEAR(NOW()),VLOOKUP(I139,'Banco de Dados'!V:W,2,FALSE),VLOOKUP(B139&amp;C139,'Banco de Dados'!$I:$M,5,FALSE)),"")</f>
        <v/>
      </c>
      <c r="I139" s="4"/>
      <c r="J139" s="4"/>
      <c r="K139" s="4"/>
      <c r="L139" s="4"/>
      <c r="M139" s="128" t="str">
        <f>IFERROR(VLOOKUP(B139&amp;C139,'Banco de Dados'!$I:$N,6,FALSE),"")</f>
        <v/>
      </c>
      <c r="N139" s="141" t="str">
        <f t="shared" si="5"/>
        <v/>
      </c>
    </row>
    <row r="140" spans="1:14" x14ac:dyDescent="0.25">
      <c r="A140" s="137" t="str">
        <f t="shared" si="4"/>
        <v/>
      </c>
      <c r="B140" s="4"/>
      <c r="C140" s="4"/>
      <c r="D140" s="4"/>
      <c r="E140" s="137" t="str">
        <f>IFERROR(VLOOKUP(B140&amp;C140,'Banco de Dados'!$I:$L,4,FALSE),"")</f>
        <v/>
      </c>
      <c r="F140" s="137" t="str">
        <f>IFERROR(VLOOKUP(B140&amp;C140,'Banco de Dados'!$I:$L,3,FALSE),"")</f>
        <v/>
      </c>
      <c r="G140" s="125"/>
      <c r="H140" s="139" t="str">
        <f ca="1">IFERROR(DATE(YEAR(NOW()),VLOOKUP(I140,'Banco de Dados'!V:W,2,FALSE),VLOOKUP(B140&amp;C140,'Banco de Dados'!$I:$M,5,FALSE)),"")</f>
        <v/>
      </c>
      <c r="I140" s="4"/>
      <c r="J140" s="4"/>
      <c r="K140" s="4"/>
      <c r="L140" s="4"/>
      <c r="M140" s="128" t="str">
        <f>IFERROR(VLOOKUP(B140&amp;C140,'Banco de Dados'!$I:$N,6,FALSE),"")</f>
        <v/>
      </c>
      <c r="N140" s="141" t="str">
        <f t="shared" si="5"/>
        <v/>
      </c>
    </row>
    <row r="141" spans="1:14" x14ac:dyDescent="0.25">
      <c r="A141" s="137" t="str">
        <f t="shared" si="4"/>
        <v/>
      </c>
      <c r="B141" s="4"/>
      <c r="C141" s="4"/>
      <c r="D141" s="4"/>
      <c r="E141" s="137" t="str">
        <f>IFERROR(VLOOKUP(B141&amp;C141,'Banco de Dados'!$I:$L,4,FALSE),"")</f>
        <v/>
      </c>
      <c r="F141" s="137" t="str">
        <f>IFERROR(VLOOKUP(B141&amp;C141,'Banco de Dados'!$I:$L,3,FALSE),"")</f>
        <v/>
      </c>
      <c r="G141" s="125"/>
      <c r="H141" s="139" t="str">
        <f ca="1">IFERROR(DATE(YEAR(NOW()),VLOOKUP(I141,'Banco de Dados'!V:W,2,FALSE),VLOOKUP(B141&amp;C141,'Banco de Dados'!$I:$M,5,FALSE)),"")</f>
        <v/>
      </c>
      <c r="I141" s="4"/>
      <c r="J141" s="4"/>
      <c r="K141" s="4"/>
      <c r="L141" s="4"/>
      <c r="M141" s="128" t="str">
        <f>IFERROR(VLOOKUP(B141&amp;C141,'Banco de Dados'!$I:$N,6,FALSE),"")</f>
        <v/>
      </c>
      <c r="N141" s="141" t="str">
        <f t="shared" si="5"/>
        <v/>
      </c>
    </row>
    <row r="142" spans="1:14" x14ac:dyDescent="0.25">
      <c r="A142" s="137" t="str">
        <f t="shared" si="4"/>
        <v/>
      </c>
      <c r="B142" s="4"/>
      <c r="C142" s="4"/>
      <c r="D142" s="4"/>
      <c r="E142" s="137" t="str">
        <f>IFERROR(VLOOKUP(B142&amp;C142,'Banco de Dados'!$I:$L,4,FALSE),"")</f>
        <v/>
      </c>
      <c r="F142" s="137" t="str">
        <f>IFERROR(VLOOKUP(B142&amp;C142,'Banco de Dados'!$I:$L,3,FALSE),"")</f>
        <v/>
      </c>
      <c r="G142" s="125"/>
      <c r="H142" s="139" t="str">
        <f ca="1">IFERROR(DATE(YEAR(NOW()),VLOOKUP(I142,'Banco de Dados'!V:W,2,FALSE),VLOOKUP(B142&amp;C142,'Banco de Dados'!$I:$M,5,FALSE)),"")</f>
        <v/>
      </c>
      <c r="I142" s="4"/>
      <c r="J142" s="4"/>
      <c r="K142" s="4"/>
      <c r="L142" s="4"/>
      <c r="M142" s="128" t="str">
        <f>IFERROR(VLOOKUP(B142&amp;C142,'Banco de Dados'!$I:$N,6,FALSE),"")</f>
        <v/>
      </c>
      <c r="N142" s="141" t="str">
        <f t="shared" si="5"/>
        <v/>
      </c>
    </row>
    <row r="143" spans="1:14" x14ac:dyDescent="0.25">
      <c r="A143" s="137" t="str">
        <f t="shared" si="4"/>
        <v/>
      </c>
      <c r="B143" s="4"/>
      <c r="C143" s="4"/>
      <c r="D143" s="4"/>
      <c r="E143" s="137" t="str">
        <f>IFERROR(VLOOKUP(B143&amp;C143,'Banco de Dados'!$I:$L,4,FALSE),"")</f>
        <v/>
      </c>
      <c r="F143" s="137" t="str">
        <f>IFERROR(VLOOKUP(B143&amp;C143,'Banco de Dados'!$I:$L,3,FALSE),"")</f>
        <v/>
      </c>
      <c r="G143" s="125"/>
      <c r="H143" s="139" t="str">
        <f ca="1">IFERROR(DATE(YEAR(NOW()),VLOOKUP(I143,'Banco de Dados'!V:W,2,FALSE),VLOOKUP(B143&amp;C143,'Banco de Dados'!$I:$M,5,FALSE)),"")</f>
        <v/>
      </c>
      <c r="I143" s="4"/>
      <c r="J143" s="4"/>
      <c r="K143" s="4"/>
      <c r="L143" s="4"/>
      <c r="M143" s="128" t="str">
        <f>IFERROR(VLOOKUP(B143&amp;C143,'Banco de Dados'!$I:$N,6,FALSE),"")</f>
        <v/>
      </c>
      <c r="N143" s="141" t="str">
        <f t="shared" si="5"/>
        <v/>
      </c>
    </row>
    <row r="144" spans="1:14" x14ac:dyDescent="0.25">
      <c r="A144" s="137" t="str">
        <f t="shared" si="4"/>
        <v/>
      </c>
      <c r="B144" s="4"/>
      <c r="C144" s="4"/>
      <c r="D144" s="4"/>
      <c r="E144" s="137" t="str">
        <f>IFERROR(VLOOKUP(B144&amp;C144,'Banco de Dados'!$I:$L,4,FALSE),"")</f>
        <v/>
      </c>
      <c r="F144" s="137" t="str">
        <f>IFERROR(VLOOKUP(B144&amp;C144,'Banco de Dados'!$I:$L,3,FALSE),"")</f>
        <v/>
      </c>
      <c r="G144" s="125"/>
      <c r="H144" s="139" t="str">
        <f ca="1">IFERROR(DATE(YEAR(NOW()),VLOOKUP(I144,'Banco de Dados'!V:W,2,FALSE),VLOOKUP(B144&amp;C144,'Banco de Dados'!$I:$M,5,FALSE)),"")</f>
        <v/>
      </c>
      <c r="I144" s="4"/>
      <c r="J144" s="4"/>
      <c r="K144" s="4"/>
      <c r="L144" s="4"/>
      <c r="M144" s="128" t="str">
        <f>IFERROR(VLOOKUP(B144&amp;C144,'Banco de Dados'!$I:$N,6,FALSE),"")</f>
        <v/>
      </c>
      <c r="N144" s="141" t="str">
        <f t="shared" si="5"/>
        <v/>
      </c>
    </row>
    <row r="145" spans="1:14" x14ac:dyDescent="0.25">
      <c r="A145" s="137" t="str">
        <f t="shared" si="4"/>
        <v/>
      </c>
      <c r="B145" s="4"/>
      <c r="C145" s="4"/>
      <c r="D145" s="4"/>
      <c r="E145" s="137" t="str">
        <f>IFERROR(VLOOKUP(B145&amp;C145,'Banco de Dados'!$I:$L,4,FALSE),"")</f>
        <v/>
      </c>
      <c r="F145" s="137" t="str">
        <f>IFERROR(VLOOKUP(B145&amp;C145,'Banco de Dados'!$I:$L,3,FALSE),"")</f>
        <v/>
      </c>
      <c r="G145" s="125"/>
      <c r="H145" s="139" t="str">
        <f ca="1">IFERROR(DATE(YEAR(NOW()),VLOOKUP(I145,'Banco de Dados'!V:W,2,FALSE),VLOOKUP(B145&amp;C145,'Banco de Dados'!$I:$M,5,FALSE)),"")</f>
        <v/>
      </c>
      <c r="I145" s="4"/>
      <c r="J145" s="4"/>
      <c r="K145" s="4"/>
      <c r="L145" s="4"/>
      <c r="M145" s="128" t="str">
        <f>IFERROR(VLOOKUP(B145&amp;C145,'Banco de Dados'!$I:$N,6,FALSE),"")</f>
        <v/>
      </c>
      <c r="N145" s="141" t="str">
        <f t="shared" si="5"/>
        <v/>
      </c>
    </row>
    <row r="146" spans="1:14" x14ac:dyDescent="0.25">
      <c r="A146" s="137" t="str">
        <f t="shared" si="4"/>
        <v/>
      </c>
      <c r="B146" s="4"/>
      <c r="C146" s="4"/>
      <c r="D146" s="4"/>
      <c r="E146" s="137" t="str">
        <f>IFERROR(VLOOKUP(B146&amp;C146,'Banco de Dados'!$I:$L,4,FALSE),"")</f>
        <v/>
      </c>
      <c r="F146" s="137" t="str">
        <f>IFERROR(VLOOKUP(B146&amp;C146,'Banco de Dados'!$I:$L,3,FALSE),"")</f>
        <v/>
      </c>
      <c r="G146" s="125"/>
      <c r="H146" s="139" t="str">
        <f ca="1">IFERROR(DATE(YEAR(NOW()),VLOOKUP(I146,'Banco de Dados'!V:W,2,FALSE),VLOOKUP(B146&amp;C146,'Banco de Dados'!$I:$M,5,FALSE)),"")</f>
        <v/>
      </c>
      <c r="I146" s="4"/>
      <c r="J146" s="4"/>
      <c r="K146" s="4"/>
      <c r="L146" s="4"/>
      <c r="M146" s="128" t="str">
        <f>IFERROR(VLOOKUP(B146&amp;C146,'Banco de Dados'!$I:$N,6,FALSE),"")</f>
        <v/>
      </c>
      <c r="N146" s="141" t="str">
        <f t="shared" si="5"/>
        <v/>
      </c>
    </row>
    <row r="147" spans="1:14" x14ac:dyDescent="0.25">
      <c r="A147" s="137" t="str">
        <f t="shared" si="4"/>
        <v/>
      </c>
      <c r="B147" s="4"/>
      <c r="C147" s="4"/>
      <c r="D147" s="4"/>
      <c r="E147" s="137" t="str">
        <f>IFERROR(VLOOKUP(B147&amp;C147,'Banco de Dados'!$I:$L,4,FALSE),"")</f>
        <v/>
      </c>
      <c r="F147" s="137" t="str">
        <f>IFERROR(VLOOKUP(B147&amp;C147,'Banco de Dados'!$I:$L,3,FALSE),"")</f>
        <v/>
      </c>
      <c r="G147" s="125"/>
      <c r="H147" s="139" t="str">
        <f ca="1">IFERROR(DATE(YEAR(NOW()),VLOOKUP(I147,'Banco de Dados'!V:W,2,FALSE),VLOOKUP(B147&amp;C147,'Banco de Dados'!$I:$M,5,FALSE)),"")</f>
        <v/>
      </c>
      <c r="I147" s="4"/>
      <c r="J147" s="4"/>
      <c r="K147" s="4"/>
      <c r="L147" s="4"/>
      <c r="M147" s="128" t="str">
        <f>IFERROR(VLOOKUP(B147&amp;C147,'Banco de Dados'!$I:$N,6,FALSE),"")</f>
        <v/>
      </c>
      <c r="N147" s="141" t="str">
        <f t="shared" si="5"/>
        <v/>
      </c>
    </row>
    <row r="148" spans="1:14" x14ac:dyDescent="0.25">
      <c r="A148" s="137" t="str">
        <f t="shared" si="4"/>
        <v/>
      </c>
      <c r="B148" s="4"/>
      <c r="C148" s="4"/>
      <c r="D148" s="4"/>
      <c r="E148" s="137" t="str">
        <f>IFERROR(VLOOKUP(B148&amp;C148,'Banco de Dados'!$I:$L,4,FALSE),"")</f>
        <v/>
      </c>
      <c r="F148" s="137" t="str">
        <f>IFERROR(VLOOKUP(B148&amp;C148,'Banco de Dados'!$I:$L,3,FALSE),"")</f>
        <v/>
      </c>
      <c r="G148" s="125"/>
      <c r="H148" s="139" t="str">
        <f ca="1">IFERROR(DATE(YEAR(NOW()),VLOOKUP(I148,'Banco de Dados'!V:W,2,FALSE),VLOOKUP(B148&amp;C148,'Banco de Dados'!$I:$M,5,FALSE)),"")</f>
        <v/>
      </c>
      <c r="I148" s="4"/>
      <c r="J148" s="4"/>
      <c r="K148" s="4"/>
      <c r="L148" s="4"/>
      <c r="M148" s="128" t="str">
        <f>IFERROR(VLOOKUP(B148&amp;C148,'Banco de Dados'!$I:$N,6,FALSE),"")</f>
        <v/>
      </c>
      <c r="N148" s="141" t="str">
        <f t="shared" si="5"/>
        <v/>
      </c>
    </row>
    <row r="149" spans="1:14" x14ac:dyDescent="0.25">
      <c r="A149" s="137" t="str">
        <f t="shared" si="4"/>
        <v/>
      </c>
      <c r="B149" s="4"/>
      <c r="C149" s="4"/>
      <c r="D149" s="4"/>
      <c r="E149" s="137" t="str">
        <f>IFERROR(VLOOKUP(B149&amp;C149,'Banco de Dados'!$I:$L,4,FALSE),"")</f>
        <v/>
      </c>
      <c r="F149" s="137" t="str">
        <f>IFERROR(VLOOKUP(B149&amp;C149,'Banco de Dados'!$I:$L,3,FALSE),"")</f>
        <v/>
      </c>
      <c r="G149" s="125"/>
      <c r="H149" s="139" t="str">
        <f ca="1">IFERROR(DATE(YEAR(NOW()),VLOOKUP(I149,'Banco de Dados'!V:W,2,FALSE),VLOOKUP(B149&amp;C149,'Banco de Dados'!$I:$M,5,FALSE)),"")</f>
        <v/>
      </c>
      <c r="I149" s="4"/>
      <c r="J149" s="4"/>
      <c r="K149" s="4"/>
      <c r="L149" s="4"/>
      <c r="M149" s="128" t="str">
        <f>IFERROR(VLOOKUP(B149&amp;C149,'Banco de Dados'!$I:$N,6,FALSE),"")</f>
        <v/>
      </c>
      <c r="N149" s="141" t="str">
        <f t="shared" si="5"/>
        <v/>
      </c>
    </row>
    <row r="150" spans="1:14" x14ac:dyDescent="0.25">
      <c r="A150" s="137" t="str">
        <f t="shared" si="4"/>
        <v/>
      </c>
      <c r="B150" s="4"/>
      <c r="C150" s="4"/>
      <c r="D150" s="4"/>
      <c r="E150" s="137" t="str">
        <f>IFERROR(VLOOKUP(B150&amp;C150,'Banco de Dados'!$I:$L,4,FALSE),"")</f>
        <v/>
      </c>
      <c r="F150" s="137" t="str">
        <f>IFERROR(VLOOKUP(B150&amp;C150,'Banco de Dados'!$I:$L,3,FALSE),"")</f>
        <v/>
      </c>
      <c r="G150" s="125"/>
      <c r="H150" s="139" t="str">
        <f ca="1">IFERROR(DATE(YEAR(NOW()),VLOOKUP(I150,'Banco de Dados'!V:W,2,FALSE),VLOOKUP(B150&amp;C150,'Banco de Dados'!$I:$M,5,FALSE)),"")</f>
        <v/>
      </c>
      <c r="I150" s="4"/>
      <c r="J150" s="4"/>
      <c r="K150" s="4"/>
      <c r="L150" s="4"/>
      <c r="M150" s="128" t="str">
        <f>IFERROR(VLOOKUP(B150&amp;C150,'Banco de Dados'!$I:$N,6,FALSE),"")</f>
        <v/>
      </c>
      <c r="N150" s="141" t="str">
        <f t="shared" si="5"/>
        <v/>
      </c>
    </row>
    <row r="151" spans="1:14" x14ac:dyDescent="0.25">
      <c r="A151" s="137" t="str">
        <f t="shared" si="4"/>
        <v/>
      </c>
      <c r="B151" s="4"/>
      <c r="C151" s="4"/>
      <c r="D151" s="4"/>
      <c r="E151" s="137" t="str">
        <f>IFERROR(VLOOKUP(B151&amp;C151,'Banco de Dados'!$I:$L,4,FALSE),"")</f>
        <v/>
      </c>
      <c r="F151" s="137" t="str">
        <f>IFERROR(VLOOKUP(B151&amp;C151,'Banco de Dados'!$I:$L,3,FALSE),"")</f>
        <v/>
      </c>
      <c r="G151" s="125"/>
      <c r="H151" s="139" t="str">
        <f ca="1">IFERROR(DATE(YEAR(NOW()),VLOOKUP(I151,'Banco de Dados'!V:W,2,FALSE),VLOOKUP(B151&amp;C151,'Banco de Dados'!$I:$M,5,FALSE)),"")</f>
        <v/>
      </c>
      <c r="I151" s="4"/>
      <c r="J151" s="4"/>
      <c r="K151" s="4"/>
      <c r="L151" s="4"/>
      <c r="M151" s="128" t="str">
        <f>IFERROR(VLOOKUP(B151&amp;C151,'Banco de Dados'!$I:$N,6,FALSE),"")</f>
        <v/>
      </c>
      <c r="N151" s="141" t="str">
        <f t="shared" si="5"/>
        <v/>
      </c>
    </row>
    <row r="152" spans="1:14" x14ac:dyDescent="0.25">
      <c r="A152" s="137" t="str">
        <f t="shared" si="4"/>
        <v/>
      </c>
      <c r="B152" s="4"/>
      <c r="C152" s="4"/>
      <c r="D152" s="4"/>
      <c r="E152" s="137" t="str">
        <f>IFERROR(VLOOKUP(B152&amp;C152,'Banco de Dados'!$I:$L,4,FALSE),"")</f>
        <v/>
      </c>
      <c r="F152" s="137" t="str">
        <f>IFERROR(VLOOKUP(B152&amp;C152,'Banco de Dados'!$I:$L,3,FALSE),"")</f>
        <v/>
      </c>
      <c r="G152" s="125"/>
      <c r="H152" s="139" t="str">
        <f ca="1">IFERROR(DATE(YEAR(NOW()),VLOOKUP(I152,'Banco de Dados'!V:W,2,FALSE),VLOOKUP(B152&amp;C152,'Banco de Dados'!$I:$M,5,FALSE)),"")</f>
        <v/>
      </c>
      <c r="I152" s="4"/>
      <c r="J152" s="4"/>
      <c r="K152" s="4"/>
      <c r="L152" s="4"/>
      <c r="M152" s="128" t="str">
        <f>IFERROR(VLOOKUP(B152&amp;C152,'Banco de Dados'!$I:$N,6,FALSE),"")</f>
        <v/>
      </c>
      <c r="N152" s="141" t="str">
        <f t="shared" si="5"/>
        <v/>
      </c>
    </row>
    <row r="153" spans="1:14" x14ac:dyDescent="0.25">
      <c r="A153" s="137" t="str">
        <f t="shared" si="4"/>
        <v/>
      </c>
      <c r="B153" s="4"/>
      <c r="C153" s="4"/>
      <c r="D153" s="4"/>
      <c r="E153" s="137" t="str">
        <f>IFERROR(VLOOKUP(B153&amp;C153,'Banco de Dados'!$I:$L,4,FALSE),"")</f>
        <v/>
      </c>
      <c r="F153" s="137" t="str">
        <f>IFERROR(VLOOKUP(B153&amp;C153,'Banco de Dados'!$I:$L,3,FALSE),"")</f>
        <v/>
      </c>
      <c r="G153" s="125"/>
      <c r="H153" s="139" t="str">
        <f ca="1">IFERROR(DATE(YEAR(NOW()),VLOOKUP(I153,'Banco de Dados'!V:W,2,FALSE),VLOOKUP(B153&amp;C153,'Banco de Dados'!$I:$M,5,FALSE)),"")</f>
        <v/>
      </c>
      <c r="I153" s="4"/>
      <c r="J153" s="4"/>
      <c r="K153" s="4"/>
      <c r="L153" s="4"/>
      <c r="M153" s="128" t="str">
        <f>IFERROR(VLOOKUP(B153&amp;C153,'Banco de Dados'!$I:$N,6,FALSE),"")</f>
        <v/>
      </c>
      <c r="N153" s="141" t="str">
        <f t="shared" si="5"/>
        <v/>
      </c>
    </row>
    <row r="154" spans="1:14" x14ac:dyDescent="0.25">
      <c r="A154" s="137" t="str">
        <f t="shared" si="4"/>
        <v/>
      </c>
      <c r="B154" s="4"/>
      <c r="C154" s="4"/>
      <c r="D154" s="4"/>
      <c r="E154" s="137" t="str">
        <f>IFERROR(VLOOKUP(B154&amp;C154,'Banco de Dados'!$I:$L,4,FALSE),"")</f>
        <v/>
      </c>
      <c r="F154" s="137" t="str">
        <f>IFERROR(VLOOKUP(B154&amp;C154,'Banco de Dados'!$I:$L,3,FALSE),"")</f>
        <v/>
      </c>
      <c r="G154" s="125"/>
      <c r="H154" s="139" t="str">
        <f ca="1">IFERROR(DATE(YEAR(NOW()),VLOOKUP(I154,'Banco de Dados'!V:W,2,FALSE),VLOOKUP(B154&amp;C154,'Banco de Dados'!$I:$M,5,FALSE)),"")</f>
        <v/>
      </c>
      <c r="I154" s="4"/>
      <c r="J154" s="4"/>
      <c r="K154" s="4"/>
      <c r="L154" s="4"/>
      <c r="M154" s="128" t="str">
        <f>IFERROR(VLOOKUP(B154&amp;C154,'Banco de Dados'!$I:$N,6,FALSE),"")</f>
        <v/>
      </c>
      <c r="N154" s="141" t="str">
        <f t="shared" si="5"/>
        <v/>
      </c>
    </row>
    <row r="155" spans="1:14" x14ac:dyDescent="0.25">
      <c r="A155" s="137" t="str">
        <f t="shared" si="4"/>
        <v/>
      </c>
      <c r="B155" s="4"/>
      <c r="C155" s="4"/>
      <c r="D155" s="4"/>
      <c r="E155" s="137" t="str">
        <f>IFERROR(VLOOKUP(B155&amp;C155,'Banco de Dados'!$I:$L,4,FALSE),"")</f>
        <v/>
      </c>
      <c r="F155" s="137" t="str">
        <f>IFERROR(VLOOKUP(B155&amp;C155,'Banco de Dados'!$I:$L,3,FALSE),"")</f>
        <v/>
      </c>
      <c r="G155" s="125"/>
      <c r="H155" s="139" t="str">
        <f ca="1">IFERROR(DATE(YEAR(NOW()),VLOOKUP(I155,'Banco de Dados'!V:W,2,FALSE),VLOOKUP(B155&amp;C155,'Banco de Dados'!$I:$M,5,FALSE)),"")</f>
        <v/>
      </c>
      <c r="I155" s="4"/>
      <c r="J155" s="4"/>
      <c r="K155" s="4"/>
      <c r="L155" s="4"/>
      <c r="M155" s="128" t="str">
        <f>IFERROR(VLOOKUP(B155&amp;C155,'Banco de Dados'!$I:$N,6,FALSE),"")</f>
        <v/>
      </c>
      <c r="N155" s="141" t="str">
        <f t="shared" si="5"/>
        <v/>
      </c>
    </row>
    <row r="156" spans="1:14" x14ac:dyDescent="0.25">
      <c r="A156" s="137" t="str">
        <f t="shared" si="4"/>
        <v/>
      </c>
      <c r="B156" s="4"/>
      <c r="C156" s="4"/>
      <c r="D156" s="4"/>
      <c r="E156" s="137" t="str">
        <f>IFERROR(VLOOKUP(B156&amp;C156,'Banco de Dados'!$I:$L,4,FALSE),"")</f>
        <v/>
      </c>
      <c r="F156" s="137" t="str">
        <f>IFERROR(VLOOKUP(B156&amp;C156,'Banco de Dados'!$I:$L,3,FALSE),"")</f>
        <v/>
      </c>
      <c r="G156" s="125"/>
      <c r="H156" s="139" t="str">
        <f ca="1">IFERROR(DATE(YEAR(NOW()),VLOOKUP(I156,'Banco de Dados'!V:W,2,FALSE),VLOOKUP(B156&amp;C156,'Banco de Dados'!$I:$M,5,FALSE)),"")</f>
        <v/>
      </c>
      <c r="I156" s="4"/>
      <c r="J156" s="4"/>
      <c r="K156" s="4"/>
      <c r="L156" s="4"/>
      <c r="M156" s="128" t="str">
        <f>IFERROR(VLOOKUP(B156&amp;C156,'Banco de Dados'!$I:$N,6,FALSE),"")</f>
        <v/>
      </c>
      <c r="N156" s="141" t="str">
        <f t="shared" si="5"/>
        <v/>
      </c>
    </row>
    <row r="157" spans="1:14" x14ac:dyDescent="0.25">
      <c r="A157" s="137" t="str">
        <f t="shared" si="4"/>
        <v/>
      </c>
      <c r="B157" s="4"/>
      <c r="C157" s="4"/>
      <c r="D157" s="4"/>
      <c r="E157" s="137" t="str">
        <f>IFERROR(VLOOKUP(B157&amp;C157,'Banco de Dados'!$I:$L,4,FALSE),"")</f>
        <v/>
      </c>
      <c r="F157" s="137" t="str">
        <f>IFERROR(VLOOKUP(B157&amp;C157,'Banco de Dados'!$I:$L,3,FALSE),"")</f>
        <v/>
      </c>
      <c r="G157" s="125"/>
      <c r="H157" s="139" t="str">
        <f ca="1">IFERROR(DATE(YEAR(NOW()),VLOOKUP(I157,'Banco de Dados'!V:W,2,FALSE),VLOOKUP(B157&amp;C157,'Banco de Dados'!$I:$M,5,FALSE)),"")</f>
        <v/>
      </c>
      <c r="I157" s="4"/>
      <c r="J157" s="4"/>
      <c r="K157" s="4"/>
      <c r="L157" s="4"/>
      <c r="M157" s="128" t="str">
        <f>IFERROR(VLOOKUP(B157&amp;C157,'Banco de Dados'!$I:$N,6,FALSE),"")</f>
        <v/>
      </c>
      <c r="N157" s="141" t="str">
        <f t="shared" si="5"/>
        <v/>
      </c>
    </row>
    <row r="158" spans="1:14" x14ac:dyDescent="0.25">
      <c r="A158" s="137" t="str">
        <f t="shared" si="4"/>
        <v/>
      </c>
      <c r="B158" s="4"/>
      <c r="C158" s="4"/>
      <c r="D158" s="4"/>
      <c r="E158" s="137" t="str">
        <f>IFERROR(VLOOKUP(B158&amp;C158,'Banco de Dados'!$I:$L,4,FALSE),"")</f>
        <v/>
      </c>
      <c r="F158" s="137" t="str">
        <f>IFERROR(VLOOKUP(B158&amp;C158,'Banco de Dados'!$I:$L,3,FALSE),"")</f>
        <v/>
      </c>
      <c r="G158" s="125"/>
      <c r="H158" s="139" t="str">
        <f ca="1">IFERROR(DATE(YEAR(NOW()),VLOOKUP(I158,'Banco de Dados'!V:W,2,FALSE),VLOOKUP(B158&amp;C158,'Banco de Dados'!$I:$M,5,FALSE)),"")</f>
        <v/>
      </c>
      <c r="I158" s="4"/>
      <c r="J158" s="4"/>
      <c r="K158" s="4"/>
      <c r="L158" s="4"/>
      <c r="M158" s="128" t="str">
        <f>IFERROR(VLOOKUP(B158&amp;C158,'Banco de Dados'!$I:$N,6,FALSE),"")</f>
        <v/>
      </c>
      <c r="N158" s="141" t="str">
        <f t="shared" si="5"/>
        <v/>
      </c>
    </row>
    <row r="159" spans="1:14" x14ac:dyDescent="0.25">
      <c r="A159" s="137" t="str">
        <f t="shared" si="4"/>
        <v/>
      </c>
      <c r="B159" s="4"/>
      <c r="C159" s="4"/>
      <c r="D159" s="4"/>
      <c r="E159" s="137" t="str">
        <f>IFERROR(VLOOKUP(B159&amp;C159,'Banco de Dados'!$I:$L,4,FALSE),"")</f>
        <v/>
      </c>
      <c r="F159" s="137" t="str">
        <f>IFERROR(VLOOKUP(B159&amp;C159,'Banco de Dados'!$I:$L,3,FALSE),"")</f>
        <v/>
      </c>
      <c r="G159" s="125"/>
      <c r="H159" s="139" t="str">
        <f ca="1">IFERROR(DATE(YEAR(NOW()),VLOOKUP(I159,'Banco de Dados'!V:W,2,FALSE),VLOOKUP(B159&amp;C159,'Banco de Dados'!$I:$M,5,FALSE)),"")</f>
        <v/>
      </c>
      <c r="I159" s="4"/>
      <c r="J159" s="4"/>
      <c r="K159" s="4"/>
      <c r="L159" s="4"/>
      <c r="M159" s="128" t="str">
        <f>IFERROR(VLOOKUP(B159&amp;C159,'Banco de Dados'!$I:$N,6,FALSE),"")</f>
        <v/>
      </c>
      <c r="N159" s="141" t="str">
        <f t="shared" si="5"/>
        <v/>
      </c>
    </row>
    <row r="160" spans="1:14" x14ac:dyDescent="0.25">
      <c r="A160" s="137" t="str">
        <f t="shared" si="4"/>
        <v/>
      </c>
      <c r="B160" s="4"/>
      <c r="C160" s="4"/>
      <c r="D160" s="4"/>
      <c r="E160" s="137" t="str">
        <f>IFERROR(VLOOKUP(B160&amp;C160,'Banco de Dados'!$I:$L,4,FALSE),"")</f>
        <v/>
      </c>
      <c r="F160" s="137" t="str">
        <f>IFERROR(VLOOKUP(B160&amp;C160,'Banco de Dados'!$I:$L,3,FALSE),"")</f>
        <v/>
      </c>
      <c r="G160" s="125"/>
      <c r="H160" s="139" t="str">
        <f ca="1">IFERROR(DATE(YEAR(NOW()),VLOOKUP(I160,'Banco de Dados'!V:W,2,FALSE),VLOOKUP(B160&amp;C160,'Banco de Dados'!$I:$M,5,FALSE)),"")</f>
        <v/>
      </c>
      <c r="I160" s="4"/>
      <c r="J160" s="4"/>
      <c r="K160" s="4"/>
      <c r="L160" s="4"/>
      <c r="M160" s="128" t="str">
        <f>IFERROR(VLOOKUP(B160&amp;C160,'Banco de Dados'!$I:$N,6,FALSE),"")</f>
        <v/>
      </c>
      <c r="N160" s="141" t="str">
        <f t="shared" si="5"/>
        <v/>
      </c>
    </row>
    <row r="161" spans="1:14" x14ac:dyDescent="0.25">
      <c r="A161" s="137" t="str">
        <f t="shared" si="4"/>
        <v/>
      </c>
      <c r="B161" s="4"/>
      <c r="C161" s="4"/>
      <c r="D161" s="4"/>
      <c r="E161" s="137" t="str">
        <f>IFERROR(VLOOKUP(B161&amp;C161,'Banco de Dados'!$I:$L,4,FALSE),"")</f>
        <v/>
      </c>
      <c r="F161" s="137" t="str">
        <f>IFERROR(VLOOKUP(B161&amp;C161,'Banco de Dados'!$I:$L,3,FALSE),"")</f>
        <v/>
      </c>
      <c r="G161" s="125"/>
      <c r="H161" s="139" t="str">
        <f ca="1">IFERROR(DATE(YEAR(NOW()),VLOOKUP(I161,'Banco de Dados'!V:W,2,FALSE),VLOOKUP(B161&amp;C161,'Banco de Dados'!$I:$M,5,FALSE)),"")</f>
        <v/>
      </c>
      <c r="I161" s="4"/>
      <c r="J161" s="4"/>
      <c r="K161" s="4"/>
      <c r="L161" s="4"/>
      <c r="M161" s="128" t="str">
        <f>IFERROR(VLOOKUP(B161&amp;C161,'Banco de Dados'!$I:$N,6,FALSE),"")</f>
        <v/>
      </c>
      <c r="N161" s="141" t="str">
        <f t="shared" si="5"/>
        <v/>
      </c>
    </row>
    <row r="162" spans="1:14" x14ac:dyDescent="0.25">
      <c r="A162" s="137" t="str">
        <f t="shared" si="4"/>
        <v/>
      </c>
      <c r="B162" s="4"/>
      <c r="C162" s="4"/>
      <c r="D162" s="4"/>
      <c r="E162" s="137" t="str">
        <f>IFERROR(VLOOKUP(B162&amp;C162,'Banco de Dados'!$I:$L,4,FALSE),"")</f>
        <v/>
      </c>
      <c r="F162" s="137" t="str">
        <f>IFERROR(VLOOKUP(B162&amp;C162,'Banco de Dados'!$I:$L,3,FALSE),"")</f>
        <v/>
      </c>
      <c r="G162" s="125"/>
      <c r="H162" s="139" t="str">
        <f ca="1">IFERROR(DATE(YEAR(NOW()),VLOOKUP(I162,'Banco de Dados'!V:W,2,FALSE),VLOOKUP(B162&amp;C162,'Banco de Dados'!$I:$M,5,FALSE)),"")</f>
        <v/>
      </c>
      <c r="I162" s="4"/>
      <c r="J162" s="4"/>
      <c r="K162" s="4"/>
      <c r="L162" s="4"/>
      <c r="M162" s="128" t="str">
        <f>IFERROR(VLOOKUP(B162&amp;C162,'Banco de Dados'!$I:$N,6,FALSE),"")</f>
        <v/>
      </c>
      <c r="N162" s="141" t="str">
        <f t="shared" si="5"/>
        <v/>
      </c>
    </row>
    <row r="163" spans="1:14" x14ac:dyDescent="0.25">
      <c r="A163" s="137" t="str">
        <f t="shared" si="4"/>
        <v/>
      </c>
      <c r="B163" s="4"/>
      <c r="C163" s="4"/>
      <c r="D163" s="4"/>
      <c r="E163" s="137" t="str">
        <f>IFERROR(VLOOKUP(B163&amp;C163,'Banco de Dados'!$I:$L,4,FALSE),"")</f>
        <v/>
      </c>
      <c r="F163" s="137" t="str">
        <f>IFERROR(VLOOKUP(B163&amp;C163,'Banco de Dados'!$I:$L,3,FALSE),"")</f>
        <v/>
      </c>
      <c r="G163" s="125"/>
      <c r="H163" s="139" t="str">
        <f ca="1">IFERROR(DATE(YEAR(NOW()),VLOOKUP(I163,'Banco de Dados'!V:W,2,FALSE),VLOOKUP(B163&amp;C163,'Banco de Dados'!$I:$M,5,FALSE)),"")</f>
        <v/>
      </c>
      <c r="I163" s="4"/>
      <c r="J163" s="4"/>
      <c r="K163" s="4"/>
      <c r="L163" s="4"/>
      <c r="M163" s="128" t="str">
        <f>IFERROR(VLOOKUP(B163&amp;C163,'Banco de Dados'!$I:$N,6,FALSE),"")</f>
        <v/>
      </c>
      <c r="N163" s="141" t="str">
        <f t="shared" si="5"/>
        <v/>
      </c>
    </row>
    <row r="164" spans="1:14" x14ac:dyDescent="0.25">
      <c r="A164" s="137" t="str">
        <f t="shared" si="4"/>
        <v/>
      </c>
      <c r="B164" s="4"/>
      <c r="C164" s="4"/>
      <c r="D164" s="4"/>
      <c r="E164" s="137" t="str">
        <f>IFERROR(VLOOKUP(B164&amp;C164,'Banco de Dados'!$I:$L,4,FALSE),"")</f>
        <v/>
      </c>
      <c r="F164" s="137" t="str">
        <f>IFERROR(VLOOKUP(B164&amp;C164,'Banco de Dados'!$I:$L,3,FALSE),"")</f>
        <v/>
      </c>
      <c r="G164" s="125"/>
      <c r="H164" s="139" t="str">
        <f ca="1">IFERROR(DATE(YEAR(NOW()),VLOOKUP(I164,'Banco de Dados'!V:W,2,FALSE),VLOOKUP(B164&amp;C164,'Banco de Dados'!$I:$M,5,FALSE)),"")</f>
        <v/>
      </c>
      <c r="I164" s="4"/>
      <c r="J164" s="4"/>
      <c r="K164" s="4"/>
      <c r="L164" s="4"/>
      <c r="M164" s="128" t="str">
        <f>IFERROR(VLOOKUP(B164&amp;C164,'Banco de Dados'!$I:$N,6,FALSE),"")</f>
        <v/>
      </c>
      <c r="N164" s="141" t="str">
        <f t="shared" si="5"/>
        <v/>
      </c>
    </row>
    <row r="165" spans="1:14" x14ac:dyDescent="0.25">
      <c r="A165" s="137" t="str">
        <f t="shared" si="4"/>
        <v/>
      </c>
      <c r="B165" s="4"/>
      <c r="C165" s="4"/>
      <c r="D165" s="4"/>
      <c r="E165" s="137" t="str">
        <f>IFERROR(VLOOKUP(B165&amp;C165,'Banco de Dados'!$I:$L,4,FALSE),"")</f>
        <v/>
      </c>
      <c r="F165" s="137" t="str">
        <f>IFERROR(VLOOKUP(B165&amp;C165,'Banco de Dados'!$I:$L,3,FALSE),"")</f>
        <v/>
      </c>
      <c r="G165" s="125"/>
      <c r="H165" s="139" t="str">
        <f ca="1">IFERROR(DATE(YEAR(NOW()),VLOOKUP(I165,'Banco de Dados'!V:W,2,FALSE),VLOOKUP(B165&amp;C165,'Banco de Dados'!$I:$M,5,FALSE)),"")</f>
        <v/>
      </c>
      <c r="I165" s="4"/>
      <c r="J165" s="4"/>
      <c r="K165" s="4"/>
      <c r="L165" s="4"/>
      <c r="M165" s="128" t="str">
        <f>IFERROR(VLOOKUP(B165&amp;C165,'Banco de Dados'!$I:$N,6,FALSE),"")</f>
        <v/>
      </c>
      <c r="N165" s="141" t="str">
        <f t="shared" si="5"/>
        <v/>
      </c>
    </row>
    <row r="166" spans="1:14" x14ac:dyDescent="0.25">
      <c r="A166" s="137" t="str">
        <f t="shared" si="4"/>
        <v/>
      </c>
      <c r="B166" s="4"/>
      <c r="C166" s="4"/>
      <c r="D166" s="4"/>
      <c r="E166" s="137" t="str">
        <f>IFERROR(VLOOKUP(B166&amp;C166,'Banco de Dados'!$I:$L,4,FALSE),"")</f>
        <v/>
      </c>
      <c r="F166" s="137" t="str">
        <f>IFERROR(VLOOKUP(B166&amp;C166,'Banco de Dados'!$I:$L,3,FALSE),"")</f>
        <v/>
      </c>
      <c r="G166" s="125"/>
      <c r="H166" s="139" t="str">
        <f ca="1">IFERROR(DATE(YEAR(NOW()),VLOOKUP(I166,'Banco de Dados'!V:W,2,FALSE),VLOOKUP(B166&amp;C166,'Banco de Dados'!$I:$M,5,FALSE)),"")</f>
        <v/>
      </c>
      <c r="I166" s="4"/>
      <c r="J166" s="4"/>
      <c r="K166" s="4"/>
      <c r="L166" s="4"/>
      <c r="M166" s="128" t="str">
        <f>IFERROR(VLOOKUP(B166&amp;C166,'Banco de Dados'!$I:$N,6,FALSE),"")</f>
        <v/>
      </c>
      <c r="N166" s="141" t="str">
        <f t="shared" si="5"/>
        <v/>
      </c>
    </row>
    <row r="167" spans="1:14" x14ac:dyDescent="0.25">
      <c r="A167" s="137" t="str">
        <f t="shared" si="4"/>
        <v/>
      </c>
      <c r="B167" s="4"/>
      <c r="C167" s="4"/>
      <c r="D167" s="4"/>
      <c r="E167" s="137" t="str">
        <f>IFERROR(VLOOKUP(B167&amp;C167,'Banco de Dados'!$I:$L,4,FALSE),"")</f>
        <v/>
      </c>
      <c r="F167" s="137" t="str">
        <f>IFERROR(VLOOKUP(B167&amp;C167,'Banco de Dados'!$I:$L,3,FALSE),"")</f>
        <v/>
      </c>
      <c r="G167" s="125"/>
      <c r="H167" s="139" t="str">
        <f ca="1">IFERROR(DATE(YEAR(NOW()),VLOOKUP(I167,'Banco de Dados'!V:W,2,FALSE),VLOOKUP(B167&amp;C167,'Banco de Dados'!$I:$M,5,FALSE)),"")</f>
        <v/>
      </c>
      <c r="I167" s="4"/>
      <c r="J167" s="4"/>
      <c r="K167" s="4"/>
      <c r="L167" s="4"/>
      <c r="M167" s="128" t="str">
        <f>IFERROR(VLOOKUP(B167&amp;C167,'Banco de Dados'!$I:$N,6,FALSE),"")</f>
        <v/>
      </c>
      <c r="N167" s="141" t="str">
        <f t="shared" si="5"/>
        <v/>
      </c>
    </row>
    <row r="168" spans="1:14" x14ac:dyDescent="0.25">
      <c r="A168" s="137" t="str">
        <f t="shared" si="4"/>
        <v/>
      </c>
      <c r="B168" s="4"/>
      <c r="C168" s="4"/>
      <c r="D168" s="4"/>
      <c r="E168" s="137" t="str">
        <f>IFERROR(VLOOKUP(B168&amp;C168,'Banco de Dados'!$I:$L,4,FALSE),"")</f>
        <v/>
      </c>
      <c r="F168" s="137" t="str">
        <f>IFERROR(VLOOKUP(B168&amp;C168,'Banco de Dados'!$I:$L,3,FALSE),"")</f>
        <v/>
      </c>
      <c r="G168" s="125"/>
      <c r="H168" s="139" t="str">
        <f ca="1">IFERROR(DATE(YEAR(NOW()),VLOOKUP(I168,'Banco de Dados'!V:W,2,FALSE),VLOOKUP(B168&amp;C168,'Banco de Dados'!$I:$M,5,FALSE)),"")</f>
        <v/>
      </c>
      <c r="I168" s="4"/>
      <c r="J168" s="4"/>
      <c r="K168" s="4"/>
      <c r="L168" s="4"/>
      <c r="M168" s="128" t="str">
        <f>IFERROR(VLOOKUP(B168&amp;C168,'Banco de Dados'!$I:$N,6,FALSE),"")</f>
        <v/>
      </c>
      <c r="N168" s="141" t="str">
        <f t="shared" si="5"/>
        <v/>
      </c>
    </row>
    <row r="169" spans="1:14" x14ac:dyDescent="0.25">
      <c r="A169" s="137" t="str">
        <f t="shared" si="4"/>
        <v/>
      </c>
      <c r="B169" s="4"/>
      <c r="C169" s="4"/>
      <c r="D169" s="4"/>
      <c r="E169" s="137" t="str">
        <f>IFERROR(VLOOKUP(B169&amp;C169,'Banco de Dados'!$I:$L,4,FALSE),"")</f>
        <v/>
      </c>
      <c r="F169" s="137" t="str">
        <f>IFERROR(VLOOKUP(B169&amp;C169,'Banco de Dados'!$I:$L,3,FALSE),"")</f>
        <v/>
      </c>
      <c r="G169" s="125"/>
      <c r="H169" s="139" t="str">
        <f ca="1">IFERROR(DATE(YEAR(NOW()),VLOOKUP(I169,'Banco de Dados'!V:W,2,FALSE),VLOOKUP(B169&amp;C169,'Banco de Dados'!$I:$M,5,FALSE)),"")</f>
        <v/>
      </c>
      <c r="I169" s="4"/>
      <c r="J169" s="4"/>
      <c r="K169" s="4"/>
      <c r="L169" s="4"/>
      <c r="M169" s="128" t="str">
        <f>IFERROR(VLOOKUP(B169&amp;C169,'Banco de Dados'!$I:$N,6,FALSE),"")</f>
        <v/>
      </c>
      <c r="N169" s="141" t="str">
        <f t="shared" si="5"/>
        <v/>
      </c>
    </row>
    <row r="170" spans="1:14" x14ac:dyDescent="0.25">
      <c r="A170" s="137" t="str">
        <f t="shared" si="4"/>
        <v/>
      </c>
      <c r="B170" s="4"/>
      <c r="C170" s="4"/>
      <c r="D170" s="4"/>
      <c r="E170" s="137" t="str">
        <f>IFERROR(VLOOKUP(B170&amp;C170,'Banco de Dados'!$I:$L,4,FALSE),"")</f>
        <v/>
      </c>
      <c r="F170" s="137" t="str">
        <f>IFERROR(VLOOKUP(B170&amp;C170,'Banco de Dados'!$I:$L,3,FALSE),"")</f>
        <v/>
      </c>
      <c r="G170" s="125"/>
      <c r="H170" s="139" t="str">
        <f ca="1">IFERROR(DATE(YEAR(NOW()),VLOOKUP(I170,'Banco de Dados'!V:W,2,FALSE),VLOOKUP(B170&amp;C170,'Banco de Dados'!$I:$M,5,FALSE)),"")</f>
        <v/>
      </c>
      <c r="I170" s="4"/>
      <c r="J170" s="4"/>
      <c r="K170" s="4"/>
      <c r="L170" s="4"/>
      <c r="M170" s="128" t="str">
        <f>IFERROR(VLOOKUP(B170&amp;C170,'Banco de Dados'!$I:$N,6,FALSE),"")</f>
        <v/>
      </c>
      <c r="N170" s="141" t="str">
        <f t="shared" si="5"/>
        <v/>
      </c>
    </row>
    <row r="171" spans="1:14" x14ac:dyDescent="0.25">
      <c r="A171" s="137" t="str">
        <f t="shared" si="4"/>
        <v/>
      </c>
      <c r="B171" s="4"/>
      <c r="C171" s="4"/>
      <c r="D171" s="4"/>
      <c r="E171" s="4"/>
      <c r="F171" s="137" t="str">
        <f>IFERROR(VLOOKUP(B171&amp;C171,'Banco de Dados'!$I:$L,3,FALSE),"")</f>
        <v/>
      </c>
      <c r="G171" s="125"/>
      <c r="H171" s="139" t="str">
        <f ca="1">IFERROR(DATE(YEAR(NOW()),VLOOKUP(I171,'Banco de Dados'!V:W,2,FALSE),VLOOKUP(B171&amp;C171,'Banco de Dados'!$I:$M,5,FALSE)),"")</f>
        <v/>
      </c>
      <c r="I171" s="4"/>
      <c r="J171" s="4"/>
      <c r="K171" s="4"/>
      <c r="L171" s="4"/>
      <c r="M171" s="128" t="str">
        <f>IFERROR(VLOOKUP(B171&amp;C171,'Banco de Dados'!$I:$N,6,FALSE),"")</f>
        <v/>
      </c>
      <c r="N171" s="141" t="str">
        <f t="shared" si="5"/>
        <v/>
      </c>
    </row>
    <row r="172" spans="1:14" x14ac:dyDescent="0.25">
      <c r="A172" s="137" t="str">
        <f t="shared" si="4"/>
        <v/>
      </c>
      <c r="B172" s="4"/>
      <c r="C172" s="4"/>
      <c r="D172" s="4"/>
      <c r="E172" s="4"/>
      <c r="F172" s="137" t="str">
        <f>IFERROR(VLOOKUP(B172&amp;C172,'Banco de Dados'!$I:$L,3,FALSE),"")</f>
        <v/>
      </c>
      <c r="G172" s="125"/>
      <c r="H172" s="139" t="str">
        <f ca="1">IFERROR(DATE(YEAR(NOW()),VLOOKUP(I172,'Banco de Dados'!V:W,2,FALSE),VLOOKUP(B172&amp;C172,'Banco de Dados'!$I:$M,5,FALSE)),"")</f>
        <v/>
      </c>
      <c r="I172" s="4"/>
      <c r="J172" s="4"/>
      <c r="K172" s="4"/>
      <c r="L172" s="4"/>
      <c r="M172" s="128" t="str">
        <f>IFERROR(VLOOKUP(B172&amp;C172,'Banco de Dados'!$I:$N,6,FALSE),"")</f>
        <v/>
      </c>
      <c r="N172" s="141" t="str">
        <f t="shared" si="5"/>
        <v/>
      </c>
    </row>
    <row r="173" spans="1:14" x14ac:dyDescent="0.25">
      <c r="A173" s="137" t="str">
        <f t="shared" si="4"/>
        <v/>
      </c>
      <c r="B173" s="4"/>
      <c r="C173" s="4"/>
      <c r="D173" s="4"/>
      <c r="E173" s="4"/>
      <c r="F173" s="137" t="str">
        <f>IFERROR(VLOOKUP(B173&amp;C173,'Banco de Dados'!$I:$L,3,FALSE),"")</f>
        <v/>
      </c>
      <c r="G173" s="125"/>
      <c r="H173" s="139" t="str">
        <f ca="1">IFERROR(DATE(YEAR(NOW()),VLOOKUP(I173,'Banco de Dados'!V:W,2,FALSE),VLOOKUP(B173&amp;C173,'Banco de Dados'!$I:$M,5,FALSE)),"")</f>
        <v/>
      </c>
      <c r="I173" s="4"/>
      <c r="J173" s="4"/>
      <c r="K173" s="4"/>
      <c r="L173" s="4"/>
      <c r="M173" s="128" t="str">
        <f>IFERROR(VLOOKUP(B173&amp;C173,'Banco de Dados'!$I:$N,6,FALSE),"")</f>
        <v/>
      </c>
      <c r="N173" s="141" t="str">
        <f t="shared" si="5"/>
        <v/>
      </c>
    </row>
    <row r="174" spans="1:14" x14ac:dyDescent="0.25">
      <c r="A174" s="137" t="str">
        <f t="shared" si="4"/>
        <v/>
      </c>
      <c r="B174" s="4"/>
      <c r="C174" s="4"/>
      <c r="D174" s="4"/>
      <c r="E174" s="4"/>
      <c r="F174" s="137" t="str">
        <f>IFERROR(VLOOKUP(B174&amp;C174,'Banco de Dados'!$I:$L,3,FALSE),"")</f>
        <v/>
      </c>
      <c r="G174" s="125"/>
      <c r="H174" s="139" t="str">
        <f ca="1">IFERROR(DATE(YEAR(NOW()),VLOOKUP(I174,'Banco de Dados'!V:W,2,FALSE),VLOOKUP(B174&amp;C174,'Banco de Dados'!$I:$M,5,FALSE)),"")</f>
        <v/>
      </c>
      <c r="I174" s="4"/>
      <c r="J174" s="4"/>
      <c r="K174" s="4"/>
      <c r="L174" s="4"/>
      <c r="M174" s="128" t="str">
        <f>IFERROR(VLOOKUP(B174&amp;C174,'Banco de Dados'!$I:$N,6,FALSE),"")</f>
        <v/>
      </c>
      <c r="N174" s="141" t="str">
        <f t="shared" si="5"/>
        <v/>
      </c>
    </row>
    <row r="175" spans="1:14" x14ac:dyDescent="0.25">
      <c r="A175" s="137" t="str">
        <f t="shared" si="4"/>
        <v/>
      </c>
      <c r="B175" s="4"/>
      <c r="C175" s="4"/>
      <c r="D175" s="4"/>
      <c r="E175" s="4"/>
      <c r="F175" s="137" t="str">
        <f>IFERROR(VLOOKUP(B175&amp;C175,'Banco de Dados'!$I:$L,3,FALSE),"")</f>
        <v/>
      </c>
      <c r="G175" s="125"/>
      <c r="H175" s="139" t="str">
        <f ca="1">IFERROR(DATE(YEAR(NOW()),VLOOKUP(I175,'Banco de Dados'!V:W,2,FALSE),VLOOKUP(B175&amp;C175,'Banco de Dados'!$I:$M,5,FALSE)),"")</f>
        <v/>
      </c>
      <c r="I175" s="4"/>
      <c r="J175" s="4"/>
      <c r="K175" s="4"/>
      <c r="L175" s="4"/>
      <c r="M175" s="128" t="str">
        <f>IFERROR(VLOOKUP(B175&amp;C175,'Banco de Dados'!$I:$N,6,FALSE),"")</f>
        <v/>
      </c>
      <c r="N175" s="141" t="str">
        <f t="shared" si="5"/>
        <v/>
      </c>
    </row>
    <row r="176" spans="1:14" x14ac:dyDescent="0.25">
      <c r="A176" s="137" t="str">
        <f t="shared" si="4"/>
        <v/>
      </c>
      <c r="B176" s="4"/>
      <c r="C176" s="4"/>
      <c r="D176" s="4"/>
      <c r="E176" s="4"/>
      <c r="F176" s="137" t="str">
        <f>IFERROR(VLOOKUP(B176&amp;C176,'Banco de Dados'!$I:$L,3,FALSE),"")</f>
        <v/>
      </c>
      <c r="G176" s="125"/>
      <c r="H176" s="139" t="str">
        <f ca="1">IFERROR(DATE(YEAR(NOW()),VLOOKUP(I176,'Banco de Dados'!V:W,2,FALSE),VLOOKUP(B176&amp;C176,'Banco de Dados'!$I:$M,5,FALSE)),"")</f>
        <v/>
      </c>
      <c r="I176" s="4"/>
      <c r="J176" s="4"/>
      <c r="K176" s="4"/>
      <c r="L176" s="4"/>
      <c r="M176" s="128" t="str">
        <f>IFERROR(VLOOKUP(B176&amp;C176,'Banco de Dados'!$I:$N,6,FALSE),"")</f>
        <v/>
      </c>
      <c r="N176" s="141" t="str">
        <f t="shared" si="5"/>
        <v/>
      </c>
    </row>
    <row r="177" spans="1:14" x14ac:dyDescent="0.25">
      <c r="A177" s="137" t="str">
        <f t="shared" si="4"/>
        <v/>
      </c>
      <c r="B177" s="4"/>
      <c r="C177" s="4"/>
      <c r="D177" s="4"/>
      <c r="E177" s="4"/>
      <c r="F177" s="137" t="str">
        <f>IFERROR(VLOOKUP(B177&amp;C177,'Banco de Dados'!$I:$L,3,FALSE),"")</f>
        <v/>
      </c>
      <c r="G177" s="125"/>
      <c r="H177" s="139" t="str">
        <f ca="1">IFERROR(DATE(YEAR(NOW()),VLOOKUP(I177,'Banco de Dados'!V:W,2,FALSE),VLOOKUP(B177&amp;C177,'Banco de Dados'!$I:$M,5,FALSE)),"")</f>
        <v/>
      </c>
      <c r="I177" s="4"/>
      <c r="J177" s="4"/>
      <c r="K177" s="4"/>
      <c r="L177" s="4"/>
      <c r="M177" s="128" t="str">
        <f>IFERROR(VLOOKUP(B177&amp;C177,'Banco de Dados'!$I:$N,6,FALSE),"")</f>
        <v/>
      </c>
      <c r="N177" s="141" t="str">
        <f t="shared" si="5"/>
        <v/>
      </c>
    </row>
    <row r="178" spans="1:14" x14ac:dyDescent="0.25">
      <c r="A178" s="137" t="str">
        <f t="shared" si="4"/>
        <v/>
      </c>
      <c r="B178" s="4"/>
      <c r="C178" s="4"/>
      <c r="D178" s="4"/>
      <c r="E178" s="4"/>
      <c r="F178" s="137" t="str">
        <f>IFERROR(VLOOKUP(B178&amp;C178,'Banco de Dados'!$I:$L,3,FALSE),"")</f>
        <v/>
      </c>
      <c r="G178" s="125"/>
      <c r="H178" s="139" t="str">
        <f ca="1">IFERROR(DATE(YEAR(NOW()),VLOOKUP(I178,'Banco de Dados'!V:W,2,FALSE),VLOOKUP(B178&amp;C178,'Banco de Dados'!$I:$M,5,FALSE)),"")</f>
        <v/>
      </c>
      <c r="I178" s="4"/>
      <c r="J178" s="4"/>
      <c r="K178" s="4"/>
      <c r="L178" s="4"/>
      <c r="M178" s="128" t="str">
        <f>IFERROR(VLOOKUP(B178&amp;C178,'Banco de Dados'!$I:$N,6,FALSE),"")</f>
        <v/>
      </c>
      <c r="N178" s="141" t="str">
        <f t="shared" si="5"/>
        <v/>
      </c>
    </row>
    <row r="179" spans="1:14" x14ac:dyDescent="0.25">
      <c r="A179" s="137" t="str">
        <f t="shared" si="4"/>
        <v/>
      </c>
      <c r="B179" s="4"/>
      <c r="C179" s="4"/>
      <c r="D179" s="4"/>
      <c r="E179" s="4"/>
      <c r="F179" s="137" t="str">
        <f>IFERROR(VLOOKUP(B179&amp;C179,'Banco de Dados'!$I:$L,3,FALSE),"")</f>
        <v/>
      </c>
      <c r="G179" s="125"/>
      <c r="H179" s="139" t="str">
        <f ca="1">IFERROR(DATE(YEAR(NOW()),VLOOKUP(I179,'Banco de Dados'!V:W,2,FALSE),VLOOKUP(B179&amp;C179,'Banco de Dados'!$I:$M,5,FALSE)),"")</f>
        <v/>
      </c>
      <c r="I179" s="4"/>
      <c r="J179" s="4"/>
      <c r="K179" s="4"/>
      <c r="L179" s="4"/>
      <c r="M179" s="128" t="str">
        <f>IFERROR(VLOOKUP(B179&amp;C179,'Banco de Dados'!$I:$N,6,FALSE),"")</f>
        <v/>
      </c>
      <c r="N179" s="141" t="str">
        <f t="shared" si="5"/>
        <v/>
      </c>
    </row>
    <row r="180" spans="1:14" x14ac:dyDescent="0.25">
      <c r="A180" s="137" t="str">
        <f t="shared" si="4"/>
        <v/>
      </c>
      <c r="B180" s="4"/>
      <c r="C180" s="4"/>
      <c r="D180" s="4"/>
      <c r="E180" s="4"/>
      <c r="F180" s="137" t="str">
        <f>IFERROR(VLOOKUP(B180&amp;C180,'Banco de Dados'!$I:$L,3,FALSE),"")</f>
        <v/>
      </c>
      <c r="G180" s="125"/>
      <c r="H180" s="139" t="str">
        <f ca="1">IFERROR(DATE(YEAR(NOW()),VLOOKUP(I180,'Banco de Dados'!V:W,2,FALSE),VLOOKUP(B180&amp;C180,'Banco de Dados'!$I:$M,5,FALSE)),"")</f>
        <v/>
      </c>
      <c r="I180" s="4"/>
      <c r="J180" s="4"/>
      <c r="K180" s="4"/>
      <c r="L180" s="4"/>
      <c r="M180" s="128" t="str">
        <f>IFERROR(VLOOKUP(B180&amp;C180,'Banco de Dados'!$I:$N,6,FALSE),"")</f>
        <v/>
      </c>
      <c r="N180" s="141" t="str">
        <f t="shared" si="5"/>
        <v/>
      </c>
    </row>
    <row r="181" spans="1:14" x14ac:dyDescent="0.25">
      <c r="A181" s="137" t="str">
        <f t="shared" si="4"/>
        <v/>
      </c>
      <c r="B181" s="4"/>
      <c r="C181" s="4"/>
      <c r="D181" s="4"/>
      <c r="E181" s="4"/>
      <c r="F181" s="137" t="str">
        <f>IFERROR(VLOOKUP(B181&amp;C181,'Banco de Dados'!$I:$L,3,FALSE),"")</f>
        <v/>
      </c>
      <c r="G181" s="125"/>
      <c r="H181" s="139" t="str">
        <f ca="1">IFERROR(DATE(YEAR(NOW()),VLOOKUP(I181,'Banco de Dados'!V:W,2,FALSE),VLOOKUP(B181&amp;C181,'Banco de Dados'!$I:$M,5,FALSE)),"")</f>
        <v/>
      </c>
      <c r="I181" s="4"/>
      <c r="J181" s="4"/>
      <c r="K181" s="4"/>
      <c r="L181" s="4"/>
      <c r="M181" s="128" t="str">
        <f>IFERROR(VLOOKUP(B181&amp;C181,'Banco de Dados'!$I:$N,6,FALSE),"")</f>
        <v/>
      </c>
      <c r="N181" s="141" t="str">
        <f t="shared" si="5"/>
        <v/>
      </c>
    </row>
    <row r="182" spans="1:14" x14ac:dyDescent="0.25">
      <c r="A182" s="137" t="str">
        <f t="shared" si="4"/>
        <v/>
      </c>
      <c r="B182" s="4"/>
      <c r="C182" s="4"/>
      <c r="D182" s="4"/>
      <c r="E182" s="4"/>
      <c r="F182" s="137" t="str">
        <f>IFERROR(VLOOKUP(B182&amp;C182,'Banco de Dados'!$I:$L,3,FALSE),"")</f>
        <v/>
      </c>
      <c r="G182" s="125"/>
      <c r="H182" s="139" t="str">
        <f ca="1">IFERROR(DATE(YEAR(NOW()),VLOOKUP(I182,'Banco de Dados'!V:W,2,FALSE),VLOOKUP(B182&amp;C182,'Banco de Dados'!$I:$M,5,FALSE)),"")</f>
        <v/>
      </c>
      <c r="I182" s="4"/>
      <c r="J182" s="4"/>
      <c r="K182" s="4"/>
      <c r="L182" s="4"/>
      <c r="M182" s="128" t="str">
        <f>IFERROR(VLOOKUP(B182&amp;C182,'Banco de Dados'!$I:$N,6,FALSE),"")</f>
        <v/>
      </c>
      <c r="N182" s="141" t="str">
        <f t="shared" si="5"/>
        <v/>
      </c>
    </row>
    <row r="183" spans="1:14" x14ac:dyDescent="0.25">
      <c r="A183" s="137" t="str">
        <f t="shared" si="4"/>
        <v/>
      </c>
      <c r="B183" s="4"/>
      <c r="C183" s="4"/>
      <c r="D183" s="4"/>
      <c r="E183" s="4"/>
      <c r="F183" s="137" t="str">
        <f>IFERROR(VLOOKUP(B183&amp;C183,'Banco de Dados'!$I:$L,3,FALSE),"")</f>
        <v/>
      </c>
      <c r="G183" s="125"/>
      <c r="H183" s="139" t="str">
        <f ca="1">IFERROR(DATE(YEAR(NOW()),VLOOKUP(I183,'Banco de Dados'!V:W,2,FALSE),VLOOKUP(B183&amp;C183,'Banco de Dados'!$I:$M,5,FALSE)),"")</f>
        <v/>
      </c>
      <c r="I183" s="4"/>
      <c r="J183" s="4"/>
      <c r="K183" s="4"/>
      <c r="L183" s="4"/>
      <c r="M183" s="128" t="str">
        <f>IFERROR(VLOOKUP(B183&amp;C183,'Banco de Dados'!$I:$N,6,FALSE),"")</f>
        <v/>
      </c>
      <c r="N183" s="141" t="str">
        <f t="shared" si="5"/>
        <v/>
      </c>
    </row>
    <row r="184" spans="1:14" x14ac:dyDescent="0.25">
      <c r="A184" s="137" t="str">
        <f t="shared" si="4"/>
        <v/>
      </c>
      <c r="B184" s="4"/>
      <c r="C184" s="4"/>
      <c r="D184" s="4"/>
      <c r="E184" s="4"/>
      <c r="F184" s="137" t="str">
        <f>IFERROR(VLOOKUP(B184&amp;C184,'Banco de Dados'!$I:$L,3,FALSE),"")</f>
        <v/>
      </c>
      <c r="G184" s="125"/>
      <c r="H184" s="139" t="str">
        <f ca="1">IFERROR(DATE(YEAR(NOW()),VLOOKUP(I184,'Banco de Dados'!V:W,2,FALSE),VLOOKUP(B184&amp;C184,'Banco de Dados'!$I:$M,5,FALSE)),"")</f>
        <v/>
      </c>
      <c r="I184" s="4"/>
      <c r="J184" s="4"/>
      <c r="K184" s="4"/>
      <c r="L184" s="4"/>
      <c r="M184" s="128" t="str">
        <f>IFERROR(VLOOKUP(B184&amp;C184,'Banco de Dados'!$I:$N,6,FALSE),"")</f>
        <v/>
      </c>
      <c r="N184" s="141" t="str">
        <f t="shared" si="5"/>
        <v/>
      </c>
    </row>
    <row r="185" spans="1:14" x14ac:dyDescent="0.25">
      <c r="A185" s="137" t="str">
        <f t="shared" si="4"/>
        <v/>
      </c>
      <c r="B185" s="4"/>
      <c r="C185" s="4"/>
      <c r="D185" s="4"/>
      <c r="E185" s="4"/>
      <c r="F185" s="137" t="str">
        <f>IFERROR(VLOOKUP(B185&amp;C185,'Banco de Dados'!$I:$L,3,FALSE),"")</f>
        <v/>
      </c>
      <c r="G185" s="125"/>
      <c r="H185" s="139" t="str">
        <f ca="1">IFERROR(DATE(YEAR(NOW()),VLOOKUP(I185,'Banco de Dados'!V:W,2,FALSE),VLOOKUP(B185&amp;C185,'Banco de Dados'!$I:$M,5,FALSE)),"")</f>
        <v/>
      </c>
      <c r="I185" s="4"/>
      <c r="J185" s="4"/>
      <c r="K185" s="4"/>
      <c r="L185" s="4"/>
      <c r="M185" s="128" t="str">
        <f>IFERROR(VLOOKUP(B185&amp;C185,'Banco de Dados'!$I:$N,6,FALSE),"")</f>
        <v/>
      </c>
      <c r="N185" s="141" t="str">
        <f t="shared" si="5"/>
        <v/>
      </c>
    </row>
    <row r="186" spans="1:14" x14ac:dyDescent="0.25">
      <c r="A186" s="137" t="str">
        <f t="shared" si="4"/>
        <v/>
      </c>
      <c r="B186" s="4"/>
      <c r="C186" s="4"/>
      <c r="D186" s="4"/>
      <c r="E186" s="4"/>
      <c r="F186" s="137" t="str">
        <f>IFERROR(VLOOKUP(B186&amp;C186,'Banco de Dados'!$I:$L,3,FALSE),"")</f>
        <v/>
      </c>
      <c r="G186" s="125"/>
      <c r="H186" s="139" t="str">
        <f ca="1">IFERROR(DATE(YEAR(NOW()),VLOOKUP(I186,'Banco de Dados'!V:W,2,FALSE),VLOOKUP(B186&amp;C186,'Banco de Dados'!$I:$M,5,FALSE)),"")</f>
        <v/>
      </c>
      <c r="I186" s="4"/>
      <c r="J186" s="4"/>
      <c r="K186" s="4"/>
      <c r="L186" s="4"/>
      <c r="M186" s="128" t="str">
        <f>IFERROR(VLOOKUP(B186&amp;C186,'Banco de Dados'!$I:$N,6,FALSE),"")</f>
        <v/>
      </c>
      <c r="N186" s="141" t="str">
        <f t="shared" si="5"/>
        <v/>
      </c>
    </row>
    <row r="187" spans="1:14" x14ac:dyDescent="0.25">
      <c r="A187" s="137" t="str">
        <f t="shared" si="4"/>
        <v/>
      </c>
      <c r="B187" s="4"/>
      <c r="C187" s="4"/>
      <c r="D187" s="4"/>
      <c r="E187" s="4"/>
      <c r="F187" s="137" t="str">
        <f>IFERROR(VLOOKUP(B187&amp;C187,'Banco de Dados'!$I:$L,3,FALSE),"")</f>
        <v/>
      </c>
      <c r="G187" s="125"/>
      <c r="H187" s="139" t="str">
        <f ca="1">IFERROR(DATE(YEAR(NOW()),VLOOKUP(I187,'Banco de Dados'!V:W,2,FALSE),VLOOKUP(B187&amp;C187,'Banco de Dados'!$I:$M,5,FALSE)),"")</f>
        <v/>
      </c>
      <c r="I187" s="4"/>
      <c r="J187" s="4"/>
      <c r="K187" s="4"/>
      <c r="L187" s="4"/>
      <c r="M187" s="128" t="str">
        <f>IFERROR(VLOOKUP(B187&amp;C187,'Banco de Dados'!$I:$N,6,FALSE),"")</f>
        <v/>
      </c>
      <c r="N187" s="141" t="str">
        <f t="shared" si="5"/>
        <v/>
      </c>
    </row>
    <row r="188" spans="1:14" x14ac:dyDescent="0.25">
      <c r="A188" s="137" t="str">
        <f t="shared" si="4"/>
        <v/>
      </c>
      <c r="B188" s="4"/>
      <c r="C188" s="4"/>
      <c r="D188" s="4"/>
      <c r="E188" s="4"/>
      <c r="F188" s="137" t="str">
        <f>IFERROR(VLOOKUP(B188&amp;C188,'Banco de Dados'!$I:$L,3,FALSE),"")</f>
        <v/>
      </c>
      <c r="G188" s="125"/>
      <c r="H188" s="139" t="str">
        <f ca="1">IFERROR(DATE(YEAR(NOW()),VLOOKUP(I188,'Banco de Dados'!V:W,2,FALSE),VLOOKUP(B188&amp;C188,'Banco de Dados'!$I:$M,5,FALSE)),"")</f>
        <v/>
      </c>
      <c r="I188" s="4"/>
      <c r="J188" s="4"/>
      <c r="K188" s="4"/>
      <c r="L188" s="4"/>
      <c r="M188" s="128" t="str">
        <f>IFERROR(VLOOKUP(B188&amp;C188,'Banco de Dados'!$I:$N,6,FALSE),"")</f>
        <v/>
      </c>
      <c r="N188" s="141" t="str">
        <f t="shared" si="5"/>
        <v/>
      </c>
    </row>
    <row r="189" spans="1:14" x14ac:dyDescent="0.25">
      <c r="A189" s="137" t="str">
        <f t="shared" si="4"/>
        <v/>
      </c>
      <c r="B189" s="4"/>
      <c r="C189" s="4"/>
      <c r="D189" s="4"/>
      <c r="E189" s="4"/>
      <c r="F189" s="137" t="str">
        <f>IFERROR(VLOOKUP(B189&amp;C189,'Banco de Dados'!$I:$L,3,FALSE),"")</f>
        <v/>
      </c>
      <c r="G189" s="125"/>
      <c r="H189" s="139" t="str">
        <f ca="1">IFERROR(DATE(YEAR(NOW()),VLOOKUP(I189,'Banco de Dados'!V:W,2,FALSE),VLOOKUP(B189&amp;C189,'Banco de Dados'!$I:$M,5,FALSE)),"")</f>
        <v/>
      </c>
      <c r="I189" s="4"/>
      <c r="J189" s="4"/>
      <c r="K189" s="4"/>
      <c r="L189" s="4"/>
      <c r="M189" s="128" t="str">
        <f>IFERROR(VLOOKUP(B189&amp;C189,'Banco de Dados'!$I:$N,6,FALSE),"")</f>
        <v/>
      </c>
      <c r="N189" s="141" t="str">
        <f t="shared" si="5"/>
        <v/>
      </c>
    </row>
    <row r="190" spans="1:14" x14ac:dyDescent="0.25">
      <c r="A190" s="137" t="str">
        <f t="shared" si="4"/>
        <v/>
      </c>
      <c r="B190" s="4"/>
      <c r="C190" s="4"/>
      <c r="D190" s="4"/>
      <c r="E190" s="4"/>
      <c r="F190" s="137" t="str">
        <f>IFERROR(VLOOKUP(B190&amp;C190,'Banco de Dados'!$I:$L,3,FALSE),"")</f>
        <v/>
      </c>
      <c r="G190" s="125"/>
      <c r="H190" s="139" t="str">
        <f ca="1">IFERROR(DATE(YEAR(NOW()),VLOOKUP(I190,'Banco de Dados'!V:W,2,FALSE),VLOOKUP(B190&amp;C190,'Banco de Dados'!$I:$M,5,FALSE)),"")</f>
        <v/>
      </c>
      <c r="I190" s="4"/>
      <c r="J190" s="4"/>
      <c r="K190" s="4"/>
      <c r="L190" s="4"/>
      <c r="M190" s="128" t="str">
        <f>IFERROR(VLOOKUP(B190&amp;C190,'Banco de Dados'!$I:$N,6,FALSE),"")</f>
        <v/>
      </c>
      <c r="N190" s="141" t="str">
        <f t="shared" si="5"/>
        <v/>
      </c>
    </row>
    <row r="191" spans="1:14" x14ac:dyDescent="0.25">
      <c r="A191" s="137" t="str">
        <f t="shared" si="4"/>
        <v/>
      </c>
      <c r="B191" s="4"/>
      <c r="C191" s="4"/>
      <c r="D191" s="4"/>
      <c r="E191" s="4"/>
      <c r="F191" s="137" t="str">
        <f>IFERROR(VLOOKUP(B191&amp;C191,'Banco de Dados'!$I:$L,3,FALSE),"")</f>
        <v/>
      </c>
      <c r="G191" s="125"/>
      <c r="H191" s="139" t="str">
        <f ca="1">IFERROR(DATE(YEAR(NOW()),VLOOKUP(I191,'Banco de Dados'!V:W,2,FALSE),VLOOKUP(B191&amp;C191,'Banco de Dados'!$I:$M,5,FALSE)),"")</f>
        <v/>
      </c>
      <c r="I191" s="4"/>
      <c r="J191" s="4"/>
      <c r="K191" s="4"/>
      <c r="L191" s="4"/>
      <c r="M191" s="128" t="str">
        <f>IFERROR(VLOOKUP(B191&amp;C191,'Banco de Dados'!$I:$N,6,FALSE),"")</f>
        <v/>
      </c>
      <c r="N191" s="141" t="str">
        <f t="shared" si="5"/>
        <v/>
      </c>
    </row>
    <row r="192" spans="1:14" x14ac:dyDescent="0.25">
      <c r="A192" s="137" t="str">
        <f t="shared" si="4"/>
        <v/>
      </c>
      <c r="B192" s="4"/>
      <c r="C192" s="4"/>
      <c r="D192" s="4"/>
      <c r="E192" s="4"/>
      <c r="F192" s="137" t="str">
        <f>IFERROR(VLOOKUP(B192&amp;C192,'Banco de Dados'!$I:$L,3,FALSE),"")</f>
        <v/>
      </c>
      <c r="G192" s="125"/>
      <c r="H192" s="139" t="str">
        <f ca="1">IFERROR(DATE(YEAR(NOW()),VLOOKUP(I192,'Banco de Dados'!V:W,2,FALSE),VLOOKUP(B192&amp;C192,'Banco de Dados'!$I:$M,5,FALSE)),"")</f>
        <v/>
      </c>
      <c r="I192" s="4"/>
      <c r="J192" s="4"/>
      <c r="K192" s="4"/>
      <c r="L192" s="4"/>
      <c r="M192" s="128" t="str">
        <f>IFERROR(VLOOKUP(B192&amp;C192,'Banco de Dados'!$I:$N,6,FALSE),"")</f>
        <v/>
      </c>
      <c r="N192" s="141" t="str">
        <f t="shared" si="5"/>
        <v/>
      </c>
    </row>
    <row r="193" spans="1:14" x14ac:dyDescent="0.25">
      <c r="A193" s="137" t="str">
        <f t="shared" si="4"/>
        <v/>
      </c>
      <c r="B193" s="4"/>
      <c r="C193" s="4"/>
      <c r="D193" s="4"/>
      <c r="E193" s="4"/>
      <c r="F193" s="137" t="str">
        <f>IFERROR(VLOOKUP(B193&amp;C193,'Banco de Dados'!$I:$L,3,FALSE),"")</f>
        <v/>
      </c>
      <c r="G193" s="125"/>
      <c r="H193" s="139" t="str">
        <f ca="1">IFERROR(DATE(YEAR(NOW()),VLOOKUP(I193,'Banco de Dados'!V:W,2,FALSE),VLOOKUP(B193&amp;C193,'Banco de Dados'!$I:$M,5,FALSE)),"")</f>
        <v/>
      </c>
      <c r="I193" s="4"/>
      <c r="J193" s="4"/>
      <c r="K193" s="4"/>
      <c r="L193" s="4"/>
      <c r="M193" s="128" t="str">
        <f>IFERROR(VLOOKUP(B193&amp;C193,'Banco de Dados'!$I:$N,6,FALSE),"")</f>
        <v/>
      </c>
      <c r="N193" s="141" t="str">
        <f t="shared" si="5"/>
        <v/>
      </c>
    </row>
    <row r="194" spans="1:14" x14ac:dyDescent="0.25">
      <c r="A194" s="137" t="str">
        <f t="shared" si="4"/>
        <v/>
      </c>
      <c r="B194" s="4"/>
      <c r="C194" s="4"/>
      <c r="D194" s="4"/>
      <c r="E194" s="4"/>
      <c r="F194" s="137" t="str">
        <f>IFERROR(VLOOKUP(B194&amp;C194,'Banco de Dados'!$I:$L,3,FALSE),"")</f>
        <v/>
      </c>
      <c r="G194" s="125"/>
      <c r="H194" s="139" t="str">
        <f ca="1">IFERROR(DATE(YEAR(NOW()),VLOOKUP(I194,'Banco de Dados'!V:W,2,FALSE),VLOOKUP(B194&amp;C194,'Banco de Dados'!$I:$M,5,FALSE)),"")</f>
        <v/>
      </c>
      <c r="I194" s="4"/>
      <c r="J194" s="4"/>
      <c r="K194" s="4"/>
      <c r="L194" s="4"/>
      <c r="M194" s="128" t="str">
        <f>IFERROR(VLOOKUP(B194&amp;C194,'Banco de Dados'!$I:$N,6,FALSE),"")</f>
        <v/>
      </c>
      <c r="N194" s="141" t="str">
        <f t="shared" si="5"/>
        <v/>
      </c>
    </row>
    <row r="195" spans="1:14" x14ac:dyDescent="0.25">
      <c r="A195" s="137" t="str">
        <f t="shared" si="4"/>
        <v/>
      </c>
      <c r="B195" s="4"/>
      <c r="C195" s="4"/>
      <c r="D195" s="4"/>
      <c r="E195" s="4"/>
      <c r="F195" s="137" t="str">
        <f>IFERROR(VLOOKUP(B195&amp;C195,'Banco de Dados'!$I:$L,3,FALSE),"")</f>
        <v/>
      </c>
      <c r="G195" s="125"/>
      <c r="H195" s="139" t="str">
        <f ca="1">IFERROR(DATE(YEAR(NOW()),VLOOKUP(I195,'Banco de Dados'!V:W,2,FALSE),VLOOKUP(B195&amp;C195,'Banco de Dados'!$I:$M,5,FALSE)),"")</f>
        <v/>
      </c>
      <c r="I195" s="4"/>
      <c r="J195" s="4"/>
      <c r="K195" s="4"/>
      <c r="L195" s="4"/>
      <c r="M195" s="128" t="str">
        <f>IFERROR(VLOOKUP(B195&amp;C195,'Banco de Dados'!$I:$N,6,FALSE),"")</f>
        <v/>
      </c>
      <c r="N195" s="141" t="str">
        <f t="shared" si="5"/>
        <v/>
      </c>
    </row>
    <row r="196" spans="1:14" x14ac:dyDescent="0.25">
      <c r="A196" s="137" t="str">
        <f t="shared" ref="A196:A259" si="6">IF(I196="","",IF(I196=I195,A195+1,1))</f>
        <v/>
      </c>
      <c r="B196" s="4"/>
      <c r="C196" s="4"/>
      <c r="D196" s="4"/>
      <c r="E196" s="4"/>
      <c r="F196" s="137" t="str">
        <f>IFERROR(VLOOKUP(B196&amp;C196,'Banco de Dados'!$I:$L,3,FALSE),"")</f>
        <v/>
      </c>
      <c r="G196" s="125"/>
      <c r="H196" s="139" t="str">
        <f ca="1">IFERROR(DATE(YEAR(NOW()),VLOOKUP(I196,'Banco de Dados'!V:W,2,FALSE),VLOOKUP(B196&amp;C196,'Banco de Dados'!$I:$M,5,FALSE)),"")</f>
        <v/>
      </c>
      <c r="I196" s="4"/>
      <c r="J196" s="4"/>
      <c r="K196" s="4"/>
      <c r="L196" s="4"/>
      <c r="M196" s="128" t="str">
        <f>IFERROR(VLOOKUP(B196&amp;C196,'Banco de Dados'!$I:$N,6,FALSE),"")</f>
        <v/>
      </c>
      <c r="N196" s="141" t="str">
        <f t="shared" si="5"/>
        <v/>
      </c>
    </row>
    <row r="197" spans="1:14" x14ac:dyDescent="0.25">
      <c r="A197" s="137" t="str">
        <f t="shared" si="6"/>
        <v/>
      </c>
      <c r="B197" s="4"/>
      <c r="C197" s="4"/>
      <c r="D197" s="4"/>
      <c r="E197" s="4"/>
      <c r="F197" s="137" t="str">
        <f>IFERROR(VLOOKUP(B197&amp;C197,'Banco de Dados'!$I:$L,3,FALSE),"")</f>
        <v/>
      </c>
      <c r="G197" s="125"/>
      <c r="H197" s="139" t="str">
        <f ca="1">IFERROR(DATE(YEAR(NOW()),VLOOKUP(I197,'Banco de Dados'!V:W,2,FALSE),VLOOKUP(B197&amp;C197,'Banco de Dados'!$I:$M,5,FALSE)),"")</f>
        <v/>
      </c>
      <c r="I197" s="4"/>
      <c r="J197" s="4"/>
      <c r="K197" s="4"/>
      <c r="L197" s="4"/>
      <c r="M197" s="128" t="str">
        <f>IFERROR(VLOOKUP(B197&amp;C197,'Banco de Dados'!$I:$N,6,FALSE),"")</f>
        <v/>
      </c>
      <c r="N197" s="141" t="str">
        <f t="shared" ref="N197:N260" si="7">IFERROR((G197-M197)/ABS(G197),"")</f>
        <v/>
      </c>
    </row>
    <row r="198" spans="1:14" x14ac:dyDescent="0.25">
      <c r="A198" s="137" t="str">
        <f t="shared" si="6"/>
        <v/>
      </c>
      <c r="B198" s="4"/>
      <c r="C198" s="4"/>
      <c r="D198" s="4"/>
      <c r="E198" s="4"/>
      <c r="F198" s="137" t="str">
        <f>IFERROR(VLOOKUP(B198&amp;C198,'Banco de Dados'!$I:$L,3,FALSE),"")</f>
        <v/>
      </c>
      <c r="G198" s="125"/>
      <c r="H198" s="139" t="str">
        <f ca="1">IFERROR(DATE(YEAR(NOW()),VLOOKUP(I198,'Banco de Dados'!V:W,2,FALSE),VLOOKUP(B198&amp;C198,'Banco de Dados'!$I:$M,5,FALSE)),"")</f>
        <v/>
      </c>
      <c r="I198" s="4"/>
      <c r="J198" s="4"/>
      <c r="K198" s="4"/>
      <c r="L198" s="4"/>
      <c r="M198" s="128" t="str">
        <f>IFERROR(VLOOKUP(B198&amp;C198,'Banco de Dados'!$I:$N,6,FALSE),"")</f>
        <v/>
      </c>
      <c r="N198" s="141" t="str">
        <f t="shared" si="7"/>
        <v/>
      </c>
    </row>
    <row r="199" spans="1:14" x14ac:dyDescent="0.25">
      <c r="A199" s="137" t="str">
        <f t="shared" si="6"/>
        <v/>
      </c>
      <c r="B199" s="4"/>
      <c r="C199" s="4"/>
      <c r="D199" s="4"/>
      <c r="E199" s="4"/>
      <c r="F199" s="137" t="str">
        <f>IFERROR(VLOOKUP(B199&amp;C199,'Banco de Dados'!$I:$L,3,FALSE),"")</f>
        <v/>
      </c>
      <c r="G199" s="125"/>
      <c r="H199" s="139" t="str">
        <f ca="1">IFERROR(DATE(YEAR(NOW()),VLOOKUP(I199,'Banco de Dados'!V:W,2,FALSE),VLOOKUP(B199&amp;C199,'Banco de Dados'!$I:$M,5,FALSE)),"")</f>
        <v/>
      </c>
      <c r="I199" s="4"/>
      <c r="J199" s="4"/>
      <c r="K199" s="4"/>
      <c r="L199" s="4"/>
      <c r="M199" s="128" t="str">
        <f>IFERROR(VLOOKUP(B199&amp;C199,'Banco de Dados'!$I:$N,6,FALSE),"")</f>
        <v/>
      </c>
      <c r="N199" s="141" t="str">
        <f t="shared" si="7"/>
        <v/>
      </c>
    </row>
    <row r="200" spans="1:14" x14ac:dyDescent="0.25">
      <c r="A200" s="137" t="str">
        <f t="shared" si="6"/>
        <v/>
      </c>
      <c r="B200" s="4"/>
      <c r="C200" s="4"/>
      <c r="D200" s="4"/>
      <c r="E200" s="4"/>
      <c r="F200" s="137" t="str">
        <f>IFERROR(VLOOKUP(B200&amp;C200,'Banco de Dados'!$I:$L,3,FALSE),"")</f>
        <v/>
      </c>
      <c r="G200" s="125"/>
      <c r="H200" s="139" t="str">
        <f ca="1">IFERROR(DATE(YEAR(NOW()),VLOOKUP(I200,'Banco de Dados'!V:W,2,FALSE),VLOOKUP(B200&amp;C200,'Banco de Dados'!$I:$M,5,FALSE)),"")</f>
        <v/>
      </c>
      <c r="I200" s="4"/>
      <c r="J200" s="4"/>
      <c r="K200" s="4"/>
      <c r="L200" s="4"/>
      <c r="M200" s="128" t="str">
        <f>IFERROR(VLOOKUP(B200&amp;C200,'Banco de Dados'!$I:$N,6,FALSE),"")</f>
        <v/>
      </c>
      <c r="N200" s="141" t="str">
        <f t="shared" si="7"/>
        <v/>
      </c>
    </row>
    <row r="201" spans="1:14" x14ac:dyDescent="0.25">
      <c r="A201" s="137" t="str">
        <f t="shared" si="6"/>
        <v/>
      </c>
      <c r="B201" s="4"/>
      <c r="C201" s="4"/>
      <c r="D201" s="4"/>
      <c r="E201" s="4"/>
      <c r="F201" s="137" t="str">
        <f>IFERROR(VLOOKUP(B201&amp;C201,'Banco de Dados'!$I:$L,3,FALSE),"")</f>
        <v/>
      </c>
      <c r="G201" s="125"/>
      <c r="H201" s="139" t="str">
        <f ca="1">IFERROR(DATE(YEAR(NOW()),VLOOKUP(I201,'Banco de Dados'!V:W,2,FALSE),VLOOKUP(B201&amp;C201,'Banco de Dados'!$I:$M,5,FALSE)),"")</f>
        <v/>
      </c>
      <c r="I201" s="4"/>
      <c r="J201" s="4"/>
      <c r="K201" s="4"/>
      <c r="L201" s="4"/>
      <c r="M201" s="128" t="str">
        <f>IFERROR(VLOOKUP(B201&amp;C201,'Banco de Dados'!$I:$N,6,FALSE),"")</f>
        <v/>
      </c>
      <c r="N201" s="141" t="str">
        <f t="shared" si="7"/>
        <v/>
      </c>
    </row>
    <row r="202" spans="1:14" x14ac:dyDescent="0.25">
      <c r="A202" s="137" t="str">
        <f t="shared" si="6"/>
        <v/>
      </c>
      <c r="B202" s="4"/>
      <c r="C202" s="4"/>
      <c r="D202" s="4"/>
      <c r="E202" s="4"/>
      <c r="F202" s="137" t="str">
        <f>IFERROR(VLOOKUP(B202&amp;C202,'Banco de Dados'!$I:$L,3,FALSE),"")</f>
        <v/>
      </c>
      <c r="G202" s="125"/>
      <c r="H202" s="139" t="str">
        <f ca="1">IFERROR(DATE(YEAR(NOW()),VLOOKUP(I202,'Banco de Dados'!V:W,2,FALSE),VLOOKUP(B202&amp;C202,'Banco de Dados'!$I:$M,5,FALSE)),"")</f>
        <v/>
      </c>
      <c r="I202" s="4"/>
      <c r="J202" s="4"/>
      <c r="K202" s="4"/>
      <c r="L202" s="4"/>
      <c r="M202" s="128" t="str">
        <f>IFERROR(VLOOKUP(B202&amp;C202,'Banco de Dados'!$I:$N,6,FALSE),"")</f>
        <v/>
      </c>
      <c r="N202" s="141" t="str">
        <f t="shared" si="7"/>
        <v/>
      </c>
    </row>
    <row r="203" spans="1:14" x14ac:dyDescent="0.25">
      <c r="A203" s="137" t="str">
        <f t="shared" si="6"/>
        <v/>
      </c>
      <c r="B203" s="4"/>
      <c r="C203" s="4"/>
      <c r="D203" s="4"/>
      <c r="E203" s="4"/>
      <c r="F203" s="137" t="str">
        <f>IFERROR(VLOOKUP(B203&amp;C203,'Banco de Dados'!$I:$L,3,FALSE),"")</f>
        <v/>
      </c>
      <c r="G203" s="125"/>
      <c r="H203" s="139" t="str">
        <f ca="1">IFERROR(DATE(YEAR(NOW()),VLOOKUP(I203,'Banco de Dados'!V:W,2,FALSE),VLOOKUP(B203&amp;C203,'Banco de Dados'!$I:$M,5,FALSE)),"")</f>
        <v/>
      </c>
      <c r="I203" s="4"/>
      <c r="J203" s="4"/>
      <c r="K203" s="4"/>
      <c r="L203" s="4"/>
      <c r="M203" s="128" t="str">
        <f>IFERROR(VLOOKUP(B203&amp;C203,'Banco de Dados'!$I:$N,6,FALSE),"")</f>
        <v/>
      </c>
      <c r="N203" s="141" t="str">
        <f t="shared" si="7"/>
        <v/>
      </c>
    </row>
    <row r="204" spans="1:14" x14ac:dyDescent="0.25">
      <c r="A204" s="137" t="str">
        <f t="shared" si="6"/>
        <v/>
      </c>
      <c r="B204" s="4"/>
      <c r="C204" s="4"/>
      <c r="D204" s="4"/>
      <c r="E204" s="4"/>
      <c r="F204" s="137" t="str">
        <f>IFERROR(VLOOKUP(B204&amp;C204,'Banco de Dados'!$I:$L,3,FALSE),"")</f>
        <v/>
      </c>
      <c r="G204" s="125"/>
      <c r="H204" s="139" t="str">
        <f ca="1">IFERROR(DATE(YEAR(NOW()),VLOOKUP(I204,'Banco de Dados'!V:W,2,FALSE),VLOOKUP(B204&amp;C204,'Banco de Dados'!$I:$M,5,FALSE)),"")</f>
        <v/>
      </c>
      <c r="I204" s="4"/>
      <c r="J204" s="4"/>
      <c r="K204" s="4"/>
      <c r="L204" s="4"/>
      <c r="M204" s="128" t="str">
        <f>IFERROR(VLOOKUP(B204&amp;C204,'Banco de Dados'!$I:$N,6,FALSE),"")</f>
        <v/>
      </c>
      <c r="N204" s="141" t="str">
        <f t="shared" si="7"/>
        <v/>
      </c>
    </row>
    <row r="205" spans="1:14" x14ac:dyDescent="0.25">
      <c r="A205" s="137" t="str">
        <f t="shared" si="6"/>
        <v/>
      </c>
      <c r="B205" s="4"/>
      <c r="C205" s="4"/>
      <c r="D205" s="4"/>
      <c r="E205" s="4"/>
      <c r="F205" s="137" t="str">
        <f>IFERROR(VLOOKUP(B205&amp;C205,'Banco de Dados'!$I:$L,3,FALSE),"")</f>
        <v/>
      </c>
      <c r="G205" s="125"/>
      <c r="H205" s="139" t="str">
        <f ca="1">IFERROR(DATE(YEAR(NOW()),VLOOKUP(I205,'Banco de Dados'!V:W,2,FALSE),VLOOKUP(B205&amp;C205,'Banco de Dados'!$I:$M,5,FALSE)),"")</f>
        <v/>
      </c>
      <c r="I205" s="4"/>
      <c r="J205" s="4"/>
      <c r="K205" s="4"/>
      <c r="L205" s="4"/>
      <c r="M205" s="128" t="str">
        <f>IFERROR(VLOOKUP(B205&amp;C205,'Banco de Dados'!$I:$N,6,FALSE),"")</f>
        <v/>
      </c>
      <c r="N205" s="141" t="str">
        <f t="shared" si="7"/>
        <v/>
      </c>
    </row>
    <row r="206" spans="1:14" x14ac:dyDescent="0.25">
      <c r="A206" s="137" t="str">
        <f t="shared" si="6"/>
        <v/>
      </c>
      <c r="B206" s="4"/>
      <c r="C206" s="4"/>
      <c r="D206" s="4"/>
      <c r="E206" s="4"/>
      <c r="F206" s="137" t="str">
        <f>IFERROR(VLOOKUP(B206&amp;C206,'Banco de Dados'!$I:$L,3,FALSE),"")</f>
        <v/>
      </c>
      <c r="G206" s="125"/>
      <c r="H206" s="139" t="str">
        <f ca="1">IFERROR(DATE(YEAR(NOW()),VLOOKUP(I206,'Banco de Dados'!V:W,2,FALSE),VLOOKUP(B206&amp;C206,'Banco de Dados'!$I:$M,5,FALSE)),"")</f>
        <v/>
      </c>
      <c r="I206" s="4"/>
      <c r="J206" s="4"/>
      <c r="K206" s="4"/>
      <c r="L206" s="4"/>
      <c r="M206" s="128" t="str">
        <f>IFERROR(VLOOKUP(B206&amp;C206,'Banco de Dados'!$I:$N,6,FALSE),"")</f>
        <v/>
      </c>
      <c r="N206" s="141" t="str">
        <f t="shared" si="7"/>
        <v/>
      </c>
    </row>
    <row r="207" spans="1:14" x14ac:dyDescent="0.25">
      <c r="A207" s="137" t="str">
        <f t="shared" si="6"/>
        <v/>
      </c>
      <c r="B207" s="4"/>
      <c r="C207" s="4"/>
      <c r="D207" s="4"/>
      <c r="E207" s="4"/>
      <c r="F207" s="137" t="str">
        <f>IFERROR(VLOOKUP(B207&amp;C207,'Banco de Dados'!$I:$L,3,FALSE),"")</f>
        <v/>
      </c>
      <c r="G207" s="125"/>
      <c r="H207" s="139" t="str">
        <f ca="1">IFERROR(DATE(YEAR(NOW()),VLOOKUP(I207,'Banco de Dados'!V:W,2,FALSE),VLOOKUP(B207&amp;C207,'Banco de Dados'!$I:$M,5,FALSE)),"")</f>
        <v/>
      </c>
      <c r="I207" s="4"/>
      <c r="J207" s="4"/>
      <c r="K207" s="4"/>
      <c r="L207" s="4"/>
      <c r="M207" s="128" t="str">
        <f>IFERROR(VLOOKUP(B207&amp;C207,'Banco de Dados'!$I:$N,6,FALSE),"")</f>
        <v/>
      </c>
      <c r="N207" s="141" t="str">
        <f t="shared" si="7"/>
        <v/>
      </c>
    </row>
    <row r="208" spans="1:14" x14ac:dyDescent="0.25">
      <c r="A208" s="137" t="str">
        <f t="shared" si="6"/>
        <v/>
      </c>
      <c r="B208" s="4"/>
      <c r="C208" s="4"/>
      <c r="D208" s="4"/>
      <c r="E208" s="4"/>
      <c r="F208" s="137" t="str">
        <f>IFERROR(VLOOKUP(B208&amp;C208,'Banco de Dados'!$I:$L,3,FALSE),"")</f>
        <v/>
      </c>
      <c r="G208" s="125"/>
      <c r="H208" s="139" t="str">
        <f ca="1">IFERROR(DATE(YEAR(NOW()),VLOOKUP(I208,'Banco de Dados'!V:W,2,FALSE),VLOOKUP(B208&amp;C208,'Banco de Dados'!$I:$M,5,FALSE)),"")</f>
        <v/>
      </c>
      <c r="I208" s="4"/>
      <c r="J208" s="4"/>
      <c r="K208" s="4"/>
      <c r="L208" s="4"/>
      <c r="M208" s="128" t="str">
        <f>IFERROR(VLOOKUP(B208&amp;C208,'Banco de Dados'!$I:$N,6,FALSE),"")</f>
        <v/>
      </c>
      <c r="N208" s="141" t="str">
        <f t="shared" si="7"/>
        <v/>
      </c>
    </row>
    <row r="209" spans="1:14" x14ac:dyDescent="0.25">
      <c r="A209" s="137" t="str">
        <f t="shared" si="6"/>
        <v/>
      </c>
      <c r="B209" s="4"/>
      <c r="C209" s="4"/>
      <c r="D209" s="4"/>
      <c r="E209" s="4"/>
      <c r="F209" s="137" t="str">
        <f>IFERROR(VLOOKUP(B209&amp;C209,'Banco de Dados'!$I:$L,3,FALSE),"")</f>
        <v/>
      </c>
      <c r="G209" s="125"/>
      <c r="H209" s="139" t="str">
        <f ca="1">IFERROR(DATE(YEAR(NOW()),VLOOKUP(I209,'Banco de Dados'!V:W,2,FALSE),VLOOKUP(B209&amp;C209,'Banco de Dados'!$I:$M,5,FALSE)),"")</f>
        <v/>
      </c>
      <c r="I209" s="4"/>
      <c r="J209" s="4"/>
      <c r="K209" s="4"/>
      <c r="L209" s="4"/>
      <c r="M209" s="128" t="str">
        <f>IFERROR(VLOOKUP(B209&amp;C209,'Banco de Dados'!$I:$N,6,FALSE),"")</f>
        <v/>
      </c>
      <c r="N209" s="141" t="str">
        <f t="shared" si="7"/>
        <v/>
      </c>
    </row>
    <row r="210" spans="1:14" x14ac:dyDescent="0.25">
      <c r="A210" s="137" t="str">
        <f t="shared" si="6"/>
        <v/>
      </c>
      <c r="B210" s="4"/>
      <c r="C210" s="4"/>
      <c r="D210" s="4"/>
      <c r="E210" s="4"/>
      <c r="F210" s="137" t="str">
        <f>IFERROR(VLOOKUP(B210&amp;C210,'Banco de Dados'!$I:$L,3,FALSE),"")</f>
        <v/>
      </c>
      <c r="G210" s="125"/>
      <c r="H210" s="139" t="str">
        <f ca="1">IFERROR(DATE(YEAR(NOW()),VLOOKUP(I210,'Banco de Dados'!V:W,2,FALSE),VLOOKUP(B210&amp;C210,'Banco de Dados'!$I:$M,5,FALSE)),"")</f>
        <v/>
      </c>
      <c r="I210" s="4"/>
      <c r="J210" s="4"/>
      <c r="K210" s="4"/>
      <c r="L210" s="4"/>
      <c r="M210" s="128" t="str">
        <f>IFERROR(VLOOKUP(B210&amp;C210,'Banco de Dados'!$I:$N,6,FALSE),"")</f>
        <v/>
      </c>
      <c r="N210" s="141" t="str">
        <f t="shared" si="7"/>
        <v/>
      </c>
    </row>
    <row r="211" spans="1:14" x14ac:dyDescent="0.25">
      <c r="A211" s="137" t="str">
        <f t="shared" si="6"/>
        <v/>
      </c>
      <c r="B211" s="4"/>
      <c r="C211" s="4"/>
      <c r="D211" s="4"/>
      <c r="E211" s="4"/>
      <c r="F211" s="137" t="str">
        <f>IFERROR(VLOOKUP(B211&amp;C211,'Banco de Dados'!$I:$L,3,FALSE),"")</f>
        <v/>
      </c>
      <c r="G211" s="125"/>
      <c r="H211" s="139" t="str">
        <f ca="1">IFERROR(DATE(YEAR(NOW()),VLOOKUP(I211,'Banco de Dados'!V:W,2,FALSE),VLOOKUP(B211&amp;C211,'Banco de Dados'!$I:$M,5,FALSE)),"")</f>
        <v/>
      </c>
      <c r="I211" s="4"/>
      <c r="J211" s="4"/>
      <c r="K211" s="4"/>
      <c r="L211" s="4"/>
      <c r="M211" s="128" t="str">
        <f>IFERROR(VLOOKUP(B211&amp;C211,'Banco de Dados'!$I:$N,6,FALSE),"")</f>
        <v/>
      </c>
      <c r="N211" s="141" t="str">
        <f t="shared" si="7"/>
        <v/>
      </c>
    </row>
    <row r="212" spans="1:14" x14ac:dyDescent="0.25">
      <c r="A212" s="137" t="str">
        <f t="shared" si="6"/>
        <v/>
      </c>
      <c r="B212" s="4"/>
      <c r="C212" s="4"/>
      <c r="D212" s="4"/>
      <c r="E212" s="4"/>
      <c r="F212" s="137" t="str">
        <f>IFERROR(VLOOKUP(B212&amp;C212,'Banco de Dados'!$I:$L,3,FALSE),"")</f>
        <v/>
      </c>
      <c r="G212" s="125"/>
      <c r="H212" s="139" t="str">
        <f ca="1">IFERROR(DATE(YEAR(NOW()),VLOOKUP(I212,'Banco de Dados'!V:W,2,FALSE),VLOOKUP(B212&amp;C212,'Banco de Dados'!$I:$M,5,FALSE)),"")</f>
        <v/>
      </c>
      <c r="I212" s="4"/>
      <c r="J212" s="4"/>
      <c r="K212" s="4"/>
      <c r="L212" s="4"/>
      <c r="M212" s="128" t="str">
        <f>IFERROR(VLOOKUP(B212&amp;C212,'Banco de Dados'!$I:$N,6,FALSE),"")</f>
        <v/>
      </c>
      <c r="N212" s="141" t="str">
        <f t="shared" si="7"/>
        <v/>
      </c>
    </row>
    <row r="213" spans="1:14" x14ac:dyDescent="0.25">
      <c r="A213" s="137" t="str">
        <f t="shared" si="6"/>
        <v/>
      </c>
      <c r="B213" s="4"/>
      <c r="C213" s="4"/>
      <c r="D213" s="4"/>
      <c r="E213" s="4"/>
      <c r="F213" s="137" t="str">
        <f>IFERROR(VLOOKUP(B213&amp;C213,'Banco de Dados'!$I:$L,3,FALSE),"")</f>
        <v/>
      </c>
      <c r="G213" s="125"/>
      <c r="H213" s="139" t="str">
        <f ca="1">IFERROR(DATE(YEAR(NOW()),VLOOKUP(I213,'Banco de Dados'!V:W,2,FALSE),VLOOKUP(B213&amp;C213,'Banco de Dados'!$I:$M,5,FALSE)),"")</f>
        <v/>
      </c>
      <c r="I213" s="4"/>
      <c r="J213" s="4"/>
      <c r="K213" s="4"/>
      <c r="L213" s="4"/>
      <c r="M213" s="128" t="str">
        <f>IFERROR(VLOOKUP(B213&amp;C213,'Banco de Dados'!$I:$N,6,FALSE),"")</f>
        <v/>
      </c>
      <c r="N213" s="141" t="str">
        <f t="shared" si="7"/>
        <v/>
      </c>
    </row>
    <row r="214" spans="1:14" x14ac:dyDescent="0.25">
      <c r="A214" s="137" t="str">
        <f t="shared" si="6"/>
        <v/>
      </c>
      <c r="B214" s="4"/>
      <c r="C214" s="4"/>
      <c r="D214" s="4"/>
      <c r="E214" s="4"/>
      <c r="F214" s="137" t="str">
        <f>IFERROR(VLOOKUP(B214&amp;C214,'Banco de Dados'!$I:$L,3,FALSE),"")</f>
        <v/>
      </c>
      <c r="G214" s="125"/>
      <c r="H214" s="139" t="str">
        <f ca="1">IFERROR(DATE(YEAR(NOW()),VLOOKUP(I214,'Banco de Dados'!V:W,2,FALSE),VLOOKUP(B214&amp;C214,'Banco de Dados'!$I:$M,5,FALSE)),"")</f>
        <v/>
      </c>
      <c r="I214" s="4"/>
      <c r="J214" s="4"/>
      <c r="K214" s="4"/>
      <c r="L214" s="4"/>
      <c r="M214" s="128" t="str">
        <f>IFERROR(VLOOKUP(B214&amp;C214,'Banco de Dados'!$I:$N,6,FALSE),"")</f>
        <v/>
      </c>
      <c r="N214" s="141" t="str">
        <f t="shared" si="7"/>
        <v/>
      </c>
    </row>
    <row r="215" spans="1:14" x14ac:dyDescent="0.25">
      <c r="A215" s="137" t="str">
        <f t="shared" si="6"/>
        <v/>
      </c>
      <c r="B215" s="4"/>
      <c r="C215" s="4"/>
      <c r="D215" s="4"/>
      <c r="E215" s="4"/>
      <c r="F215" s="137" t="str">
        <f>IFERROR(VLOOKUP(B215&amp;C215,'Banco de Dados'!$I:$L,3,FALSE),"")</f>
        <v/>
      </c>
      <c r="G215" s="125"/>
      <c r="H215" s="139" t="str">
        <f ca="1">IFERROR(DATE(YEAR(NOW()),VLOOKUP(I215,'Banco de Dados'!V:W,2,FALSE),VLOOKUP(B215&amp;C215,'Banco de Dados'!$I:$M,5,FALSE)),"")</f>
        <v/>
      </c>
      <c r="I215" s="4"/>
      <c r="J215" s="4"/>
      <c r="K215" s="4"/>
      <c r="L215" s="4"/>
      <c r="M215" s="128" t="str">
        <f>IFERROR(VLOOKUP(B215&amp;C215,'Banco de Dados'!$I:$N,6,FALSE),"")</f>
        <v/>
      </c>
      <c r="N215" s="141" t="str">
        <f t="shared" si="7"/>
        <v/>
      </c>
    </row>
    <row r="216" spans="1:14" x14ac:dyDescent="0.25">
      <c r="A216" s="137" t="str">
        <f t="shared" si="6"/>
        <v/>
      </c>
      <c r="B216" s="4"/>
      <c r="C216" s="4"/>
      <c r="D216" s="4"/>
      <c r="E216" s="4"/>
      <c r="F216" s="137" t="str">
        <f>IFERROR(VLOOKUP(B216&amp;C216,'Banco de Dados'!$I:$L,3,FALSE),"")</f>
        <v/>
      </c>
      <c r="G216" s="125"/>
      <c r="H216" s="139" t="str">
        <f ca="1">IFERROR(DATE(YEAR(NOW()),VLOOKUP(I216,'Banco de Dados'!V:W,2,FALSE),VLOOKUP(B216&amp;C216,'Banco de Dados'!$I:$M,5,FALSE)),"")</f>
        <v/>
      </c>
      <c r="I216" s="4"/>
      <c r="J216" s="4"/>
      <c r="K216" s="4"/>
      <c r="L216" s="4"/>
      <c r="M216" s="128" t="str">
        <f>IFERROR(VLOOKUP(B216&amp;C216,'Banco de Dados'!$I:$N,6,FALSE),"")</f>
        <v/>
      </c>
      <c r="N216" s="141" t="str">
        <f t="shared" si="7"/>
        <v/>
      </c>
    </row>
    <row r="217" spans="1:14" x14ac:dyDescent="0.25">
      <c r="A217" s="137" t="str">
        <f t="shared" si="6"/>
        <v/>
      </c>
      <c r="B217" s="4"/>
      <c r="C217" s="4"/>
      <c r="D217" s="4"/>
      <c r="E217" s="4"/>
      <c r="F217" s="137" t="str">
        <f>IFERROR(VLOOKUP(B217&amp;C217,'Banco de Dados'!$I:$L,3,FALSE),"")</f>
        <v/>
      </c>
      <c r="G217" s="125"/>
      <c r="H217" s="139" t="str">
        <f ca="1">IFERROR(DATE(YEAR(NOW()),VLOOKUP(I217,'Banco de Dados'!V:W,2,FALSE),VLOOKUP(B217&amp;C217,'Banco de Dados'!$I:$M,5,FALSE)),"")</f>
        <v/>
      </c>
      <c r="I217" s="4"/>
      <c r="J217" s="4"/>
      <c r="K217" s="4"/>
      <c r="L217" s="4"/>
      <c r="M217" s="128" t="str">
        <f>IFERROR(VLOOKUP(B217&amp;C217,'Banco de Dados'!$I:$N,6,FALSE),"")</f>
        <v/>
      </c>
      <c r="N217" s="141" t="str">
        <f t="shared" si="7"/>
        <v/>
      </c>
    </row>
    <row r="218" spans="1:14" x14ac:dyDescent="0.25">
      <c r="A218" s="137" t="str">
        <f t="shared" si="6"/>
        <v/>
      </c>
      <c r="B218" s="4"/>
      <c r="C218" s="4"/>
      <c r="D218" s="4"/>
      <c r="E218" s="4"/>
      <c r="F218" s="137" t="str">
        <f>IFERROR(VLOOKUP(B218&amp;C218,'Banco de Dados'!$I:$L,3,FALSE),"")</f>
        <v/>
      </c>
      <c r="G218" s="125"/>
      <c r="H218" s="139" t="str">
        <f ca="1">IFERROR(DATE(YEAR(NOW()),VLOOKUP(I218,'Banco de Dados'!V:W,2,FALSE),VLOOKUP(B218&amp;C218,'Banco de Dados'!$I:$M,5,FALSE)),"")</f>
        <v/>
      </c>
      <c r="I218" s="4"/>
      <c r="J218" s="4"/>
      <c r="K218" s="4"/>
      <c r="L218" s="4"/>
      <c r="M218" s="128" t="str">
        <f>IFERROR(VLOOKUP(B218&amp;C218,'Banco de Dados'!$I:$N,6,FALSE),"")</f>
        <v/>
      </c>
      <c r="N218" s="141" t="str">
        <f t="shared" si="7"/>
        <v/>
      </c>
    </row>
    <row r="219" spans="1:14" x14ac:dyDescent="0.25">
      <c r="A219" s="137" t="str">
        <f t="shared" si="6"/>
        <v/>
      </c>
      <c r="B219" s="4"/>
      <c r="C219" s="4"/>
      <c r="D219" s="4"/>
      <c r="E219" s="4"/>
      <c r="F219" s="137" t="str">
        <f>IFERROR(VLOOKUP(B219&amp;C219,'Banco de Dados'!$I:$L,3,FALSE),"")</f>
        <v/>
      </c>
      <c r="G219" s="125"/>
      <c r="H219" s="139" t="str">
        <f ca="1">IFERROR(DATE(YEAR(NOW()),VLOOKUP(I219,'Banco de Dados'!V:W,2,FALSE),VLOOKUP(B219&amp;C219,'Banco de Dados'!$I:$M,5,FALSE)),"")</f>
        <v/>
      </c>
      <c r="I219" s="4"/>
      <c r="J219" s="4"/>
      <c r="K219" s="4"/>
      <c r="L219" s="4"/>
      <c r="M219" s="128" t="str">
        <f>IFERROR(VLOOKUP(B219&amp;C219,'Banco de Dados'!$I:$N,6,FALSE),"")</f>
        <v/>
      </c>
      <c r="N219" s="141" t="str">
        <f t="shared" si="7"/>
        <v/>
      </c>
    </row>
    <row r="220" spans="1:14" x14ac:dyDescent="0.25">
      <c r="A220" s="137" t="str">
        <f t="shared" si="6"/>
        <v/>
      </c>
      <c r="B220" s="4"/>
      <c r="C220" s="4"/>
      <c r="D220" s="4"/>
      <c r="E220" s="4"/>
      <c r="F220" s="137" t="str">
        <f>IFERROR(VLOOKUP(B220&amp;C220,'Banco de Dados'!$I:$L,3,FALSE),"")</f>
        <v/>
      </c>
      <c r="G220" s="125"/>
      <c r="H220" s="139" t="str">
        <f ca="1">IFERROR(DATE(YEAR(NOW()),VLOOKUP(I220,'Banco de Dados'!V:W,2,FALSE),VLOOKUP(B220&amp;C220,'Banco de Dados'!$I:$M,5,FALSE)),"")</f>
        <v/>
      </c>
      <c r="I220" s="4"/>
      <c r="J220" s="4"/>
      <c r="K220" s="4"/>
      <c r="L220" s="4"/>
      <c r="M220" s="128" t="str">
        <f>IFERROR(VLOOKUP(B220&amp;C220,'Banco de Dados'!$I:$N,6,FALSE),"")</f>
        <v/>
      </c>
      <c r="N220" s="141" t="str">
        <f t="shared" si="7"/>
        <v/>
      </c>
    </row>
    <row r="221" spans="1:14" x14ac:dyDescent="0.25">
      <c r="A221" s="137" t="str">
        <f t="shared" si="6"/>
        <v/>
      </c>
      <c r="B221" s="4"/>
      <c r="C221" s="4"/>
      <c r="D221" s="4"/>
      <c r="E221" s="4"/>
      <c r="F221" s="137" t="str">
        <f>IFERROR(VLOOKUP(B221&amp;C221,'Banco de Dados'!$I:$L,3,FALSE),"")</f>
        <v/>
      </c>
      <c r="G221" s="125"/>
      <c r="H221" s="139" t="str">
        <f ca="1">IFERROR(DATE(YEAR(NOW()),VLOOKUP(I221,'Banco de Dados'!V:W,2,FALSE),VLOOKUP(B221&amp;C221,'Banco de Dados'!$I:$M,5,FALSE)),"")</f>
        <v/>
      </c>
      <c r="I221" s="4"/>
      <c r="J221" s="4"/>
      <c r="K221" s="4"/>
      <c r="L221" s="4"/>
      <c r="M221" s="128" t="str">
        <f>IFERROR(VLOOKUP(B221&amp;C221,'Banco de Dados'!$I:$N,6,FALSE),"")</f>
        <v/>
      </c>
      <c r="N221" s="141" t="str">
        <f t="shared" si="7"/>
        <v/>
      </c>
    </row>
    <row r="222" spans="1:14" x14ac:dyDescent="0.25">
      <c r="A222" s="137" t="str">
        <f t="shared" si="6"/>
        <v/>
      </c>
      <c r="B222" s="4"/>
      <c r="C222" s="4"/>
      <c r="D222" s="4"/>
      <c r="E222" s="4"/>
      <c r="F222" s="137" t="str">
        <f>IFERROR(VLOOKUP(B222&amp;C222,'Banco de Dados'!$I:$L,3,FALSE),"")</f>
        <v/>
      </c>
      <c r="G222" s="125"/>
      <c r="H222" s="139" t="str">
        <f ca="1">IFERROR(DATE(YEAR(NOW()),VLOOKUP(I222,'Banco de Dados'!V:W,2,FALSE),VLOOKUP(B222&amp;C222,'Banco de Dados'!$I:$M,5,FALSE)),"")</f>
        <v/>
      </c>
      <c r="I222" s="4"/>
      <c r="J222" s="4"/>
      <c r="K222" s="4"/>
      <c r="L222" s="4"/>
      <c r="M222" s="128" t="str">
        <f>IFERROR(VLOOKUP(B222&amp;C222,'Banco de Dados'!$I:$N,6,FALSE),"")</f>
        <v/>
      </c>
      <c r="N222" s="141" t="str">
        <f t="shared" si="7"/>
        <v/>
      </c>
    </row>
    <row r="223" spans="1:14" x14ac:dyDescent="0.25">
      <c r="A223" s="137" t="str">
        <f t="shared" si="6"/>
        <v/>
      </c>
      <c r="B223" s="4"/>
      <c r="C223" s="4"/>
      <c r="D223" s="4"/>
      <c r="E223" s="4"/>
      <c r="F223" s="4"/>
      <c r="G223" s="125"/>
      <c r="H223" s="139" t="str">
        <f ca="1">IFERROR(DATE(YEAR(NOW()),VLOOKUP(I223,'Banco de Dados'!V:W,2,FALSE),VLOOKUP(B223&amp;C223,'Banco de Dados'!$I:$M,5,FALSE)),"")</f>
        <v/>
      </c>
      <c r="I223" s="4"/>
      <c r="J223" s="4"/>
      <c r="K223" s="4"/>
      <c r="L223" s="4"/>
      <c r="M223" s="128" t="str">
        <f>IFERROR(VLOOKUP(B223&amp;C223,'Banco de Dados'!$I:$N,6,FALSE),"")</f>
        <v/>
      </c>
      <c r="N223" s="141" t="str">
        <f t="shared" si="7"/>
        <v/>
      </c>
    </row>
    <row r="224" spans="1:14" x14ac:dyDescent="0.25">
      <c r="A224" s="137" t="str">
        <f t="shared" si="6"/>
        <v/>
      </c>
      <c r="B224" s="4"/>
      <c r="C224" s="4"/>
      <c r="D224" s="4"/>
      <c r="E224" s="4"/>
      <c r="F224" s="4"/>
      <c r="G224" s="125"/>
      <c r="H224" s="139" t="str">
        <f ca="1">IFERROR(DATE(YEAR(NOW()),VLOOKUP(I224,'Banco de Dados'!V:W,2,FALSE),VLOOKUP(B224&amp;C224,'Banco de Dados'!$I:$M,5,FALSE)),"")</f>
        <v/>
      </c>
      <c r="I224" s="4"/>
      <c r="J224" s="4"/>
      <c r="K224" s="4"/>
      <c r="L224" s="4"/>
      <c r="M224" s="128" t="str">
        <f>IFERROR(VLOOKUP(B224&amp;C224,'Banco de Dados'!$I:$N,6,FALSE),"")</f>
        <v/>
      </c>
      <c r="N224" s="141" t="str">
        <f t="shared" si="7"/>
        <v/>
      </c>
    </row>
    <row r="225" spans="1:14" x14ac:dyDescent="0.25">
      <c r="A225" s="137" t="str">
        <f t="shared" si="6"/>
        <v/>
      </c>
      <c r="B225" s="4"/>
      <c r="C225" s="4"/>
      <c r="D225" s="4"/>
      <c r="E225" s="4"/>
      <c r="F225" s="4"/>
      <c r="G225" s="125"/>
      <c r="H225" s="139" t="str">
        <f ca="1">IFERROR(DATE(YEAR(NOW()),VLOOKUP(I225,'Banco de Dados'!V:W,2,FALSE),VLOOKUP(B225&amp;C225,'Banco de Dados'!$I:$M,5,FALSE)),"")</f>
        <v/>
      </c>
      <c r="I225" s="4"/>
      <c r="J225" s="4"/>
      <c r="K225" s="4"/>
      <c r="L225" s="4"/>
      <c r="M225" s="128" t="str">
        <f>IFERROR(VLOOKUP(B225&amp;C225,'Banco de Dados'!$I:$N,6,FALSE),"")</f>
        <v/>
      </c>
      <c r="N225" s="141" t="str">
        <f t="shared" si="7"/>
        <v/>
      </c>
    </row>
    <row r="226" spans="1:14" x14ac:dyDescent="0.25">
      <c r="A226" s="137" t="str">
        <f t="shared" si="6"/>
        <v/>
      </c>
      <c r="B226" s="4"/>
      <c r="C226" s="4"/>
      <c r="D226" s="4"/>
      <c r="E226" s="4"/>
      <c r="F226" s="4"/>
      <c r="G226" s="125"/>
      <c r="H226" s="139" t="str">
        <f ca="1">IFERROR(DATE(YEAR(NOW()),VLOOKUP(I226,'Banco de Dados'!V:W,2,FALSE),VLOOKUP(B226&amp;C226,'Banco de Dados'!$I:$M,5,FALSE)),"")</f>
        <v/>
      </c>
      <c r="I226" s="4"/>
      <c r="J226" s="4"/>
      <c r="K226" s="4"/>
      <c r="L226" s="4"/>
      <c r="M226" s="128" t="str">
        <f>IFERROR(VLOOKUP(B226&amp;C226,'Banco de Dados'!$I:$N,6,FALSE),"")</f>
        <v/>
      </c>
      <c r="N226" s="141" t="str">
        <f t="shared" si="7"/>
        <v/>
      </c>
    </row>
    <row r="227" spans="1:14" x14ac:dyDescent="0.25">
      <c r="A227" s="137" t="str">
        <f t="shared" si="6"/>
        <v/>
      </c>
      <c r="B227" s="4"/>
      <c r="C227" s="4"/>
      <c r="D227" s="4"/>
      <c r="E227" s="4"/>
      <c r="F227" s="4"/>
      <c r="G227" s="125"/>
      <c r="H227" s="139" t="str">
        <f ca="1">IFERROR(DATE(YEAR(NOW()),VLOOKUP(I227,'Banco de Dados'!V:W,2,FALSE),VLOOKUP(B227&amp;C227,'Banco de Dados'!$I:$M,5,FALSE)),"")</f>
        <v/>
      </c>
      <c r="I227" s="4"/>
      <c r="J227" s="4"/>
      <c r="K227" s="4"/>
      <c r="L227" s="4"/>
      <c r="M227" s="128" t="str">
        <f>IFERROR(VLOOKUP(B227&amp;C227,'Banco de Dados'!$I:$N,6,FALSE),"")</f>
        <v/>
      </c>
      <c r="N227" s="141" t="str">
        <f t="shared" si="7"/>
        <v/>
      </c>
    </row>
    <row r="228" spans="1:14" x14ac:dyDescent="0.25">
      <c r="A228" s="137" t="str">
        <f t="shared" si="6"/>
        <v/>
      </c>
      <c r="B228" s="4"/>
      <c r="C228" s="4"/>
      <c r="D228" s="4"/>
      <c r="E228" s="4"/>
      <c r="F228" s="4"/>
      <c r="G228" s="125"/>
      <c r="H228" s="139" t="str">
        <f ca="1">IFERROR(DATE(YEAR(NOW()),VLOOKUP(I228,'Banco de Dados'!V:W,2,FALSE),VLOOKUP(B228&amp;C228,'Banco de Dados'!$I:$M,5,FALSE)),"")</f>
        <v/>
      </c>
      <c r="I228" s="4"/>
      <c r="J228" s="4"/>
      <c r="K228" s="4"/>
      <c r="L228" s="4"/>
      <c r="M228" s="128" t="str">
        <f>IFERROR(VLOOKUP(B228&amp;C228,'Banco de Dados'!$I:$N,6,FALSE),"")</f>
        <v/>
      </c>
      <c r="N228" s="141" t="str">
        <f t="shared" si="7"/>
        <v/>
      </c>
    </row>
    <row r="229" spans="1:14" x14ac:dyDescent="0.25">
      <c r="A229" s="137" t="str">
        <f t="shared" si="6"/>
        <v/>
      </c>
      <c r="B229" s="4"/>
      <c r="C229" s="4"/>
      <c r="D229" s="4"/>
      <c r="E229" s="4"/>
      <c r="F229" s="4"/>
      <c r="G229" s="125"/>
      <c r="H229" s="139" t="str">
        <f ca="1">IFERROR(DATE(YEAR(NOW()),VLOOKUP(I229,'Banco de Dados'!V:W,2,FALSE),VLOOKUP(B229&amp;C229,'Banco de Dados'!$I:$M,5,FALSE)),"")</f>
        <v/>
      </c>
      <c r="I229" s="4"/>
      <c r="J229" s="4"/>
      <c r="K229" s="4"/>
      <c r="L229" s="4"/>
      <c r="M229" s="128" t="str">
        <f>IFERROR(VLOOKUP(B229&amp;C229,'Banco de Dados'!$I:$N,6,FALSE),"")</f>
        <v/>
      </c>
      <c r="N229" s="141" t="str">
        <f t="shared" si="7"/>
        <v/>
      </c>
    </row>
    <row r="230" spans="1:14" x14ac:dyDescent="0.25">
      <c r="A230" s="137" t="str">
        <f t="shared" si="6"/>
        <v/>
      </c>
      <c r="B230" s="4"/>
      <c r="C230" s="4"/>
      <c r="D230" s="4"/>
      <c r="E230" s="4"/>
      <c r="F230" s="4"/>
      <c r="G230" s="125"/>
      <c r="H230" s="139" t="str">
        <f ca="1">IFERROR(DATE(YEAR(NOW()),VLOOKUP(I230,'Banco de Dados'!V:W,2,FALSE),VLOOKUP(B230&amp;C230,'Banco de Dados'!$I:$M,5,FALSE)),"")</f>
        <v/>
      </c>
      <c r="I230" s="4"/>
      <c r="J230" s="4"/>
      <c r="K230" s="4"/>
      <c r="L230" s="4"/>
      <c r="M230" s="128" t="str">
        <f>IFERROR(VLOOKUP(B230&amp;C230,'Banco de Dados'!$I:$N,6,FALSE),"")</f>
        <v/>
      </c>
      <c r="N230" s="141" t="str">
        <f t="shared" si="7"/>
        <v/>
      </c>
    </row>
    <row r="231" spans="1:14" x14ac:dyDescent="0.25">
      <c r="A231" s="137" t="str">
        <f t="shared" si="6"/>
        <v/>
      </c>
      <c r="B231" s="4"/>
      <c r="C231" s="4"/>
      <c r="D231" s="4"/>
      <c r="E231" s="4"/>
      <c r="F231" s="4"/>
      <c r="G231" s="125"/>
      <c r="H231" s="139" t="str">
        <f ca="1">IFERROR(DATE(YEAR(NOW()),VLOOKUP(I231,'Banco de Dados'!V:W,2,FALSE),VLOOKUP(B231&amp;C231,'Banco de Dados'!$I:$M,5,FALSE)),"")</f>
        <v/>
      </c>
      <c r="I231" s="4"/>
      <c r="J231" s="4"/>
      <c r="K231" s="4"/>
      <c r="L231" s="4"/>
      <c r="M231" s="128" t="str">
        <f>IFERROR(VLOOKUP(B231&amp;C231,'Banco de Dados'!$I:$N,6,FALSE),"")</f>
        <v/>
      </c>
      <c r="N231" s="141" t="str">
        <f t="shared" si="7"/>
        <v/>
      </c>
    </row>
    <row r="232" spans="1:14" x14ac:dyDescent="0.25">
      <c r="A232" s="137" t="str">
        <f t="shared" si="6"/>
        <v/>
      </c>
      <c r="B232" s="4"/>
      <c r="C232" s="4"/>
      <c r="D232" s="4"/>
      <c r="E232" s="4"/>
      <c r="F232" s="4"/>
      <c r="G232" s="125"/>
      <c r="H232" s="139" t="str">
        <f ca="1">IFERROR(DATE(YEAR(NOW()),VLOOKUP(I232,'Banco de Dados'!V:W,2,FALSE),VLOOKUP(B232&amp;C232,'Banco de Dados'!$I:$M,5,FALSE)),"")</f>
        <v/>
      </c>
      <c r="I232" s="4"/>
      <c r="J232" s="4"/>
      <c r="K232" s="4"/>
      <c r="L232" s="4"/>
      <c r="M232" s="128" t="str">
        <f>IFERROR(VLOOKUP(B232&amp;C232,'Banco de Dados'!$I:$N,6,FALSE),"")</f>
        <v/>
      </c>
      <c r="N232" s="141" t="str">
        <f t="shared" si="7"/>
        <v/>
      </c>
    </row>
    <row r="233" spans="1:14" x14ac:dyDescent="0.25">
      <c r="A233" s="137" t="str">
        <f t="shared" si="6"/>
        <v/>
      </c>
      <c r="B233" s="4"/>
      <c r="C233" s="4"/>
      <c r="D233" s="4"/>
      <c r="E233" s="4"/>
      <c r="F233" s="4"/>
      <c r="G233" s="125"/>
      <c r="H233" s="139" t="str">
        <f ca="1">IFERROR(DATE(YEAR(NOW()),VLOOKUP(I233,'Banco de Dados'!V:W,2,FALSE),VLOOKUP(B233&amp;C233,'Banco de Dados'!$I:$M,5,FALSE)),"")</f>
        <v/>
      </c>
      <c r="I233" s="4"/>
      <c r="J233" s="4"/>
      <c r="K233" s="4"/>
      <c r="L233" s="4"/>
      <c r="M233" s="128" t="str">
        <f>IFERROR(VLOOKUP(B233&amp;C233,'Banco de Dados'!$I:$N,6,FALSE),"")</f>
        <v/>
      </c>
      <c r="N233" s="141" t="str">
        <f t="shared" si="7"/>
        <v/>
      </c>
    </row>
    <row r="234" spans="1:14" x14ac:dyDescent="0.25">
      <c r="A234" s="137" t="str">
        <f t="shared" si="6"/>
        <v/>
      </c>
      <c r="B234" s="4"/>
      <c r="C234" s="4"/>
      <c r="D234" s="4"/>
      <c r="E234" s="4"/>
      <c r="F234" s="4"/>
      <c r="G234" s="125"/>
      <c r="H234" s="139" t="str">
        <f ca="1">IFERROR(DATE(YEAR(NOW()),VLOOKUP(I234,'Banco de Dados'!V:W,2,FALSE),VLOOKUP(B234&amp;C234,'Banco de Dados'!$I:$M,5,FALSE)),"")</f>
        <v/>
      </c>
      <c r="I234" s="4"/>
      <c r="J234" s="4"/>
      <c r="K234" s="4"/>
      <c r="L234" s="4"/>
      <c r="M234" s="128" t="str">
        <f>IFERROR(VLOOKUP(B234&amp;C234,'Banco de Dados'!$I:$N,6,FALSE),"")</f>
        <v/>
      </c>
      <c r="N234" s="141" t="str">
        <f t="shared" si="7"/>
        <v/>
      </c>
    </row>
    <row r="235" spans="1:14" x14ac:dyDescent="0.25">
      <c r="A235" s="137" t="str">
        <f t="shared" si="6"/>
        <v/>
      </c>
      <c r="B235" s="4"/>
      <c r="C235" s="4"/>
      <c r="D235" s="4"/>
      <c r="E235" s="4"/>
      <c r="F235" s="4"/>
      <c r="G235" s="125"/>
      <c r="H235" s="139" t="str">
        <f ca="1">IFERROR(DATE(YEAR(NOW()),VLOOKUP(I235,'Banco de Dados'!V:W,2,FALSE),VLOOKUP(B235&amp;C235,'Banco de Dados'!$I:$M,5,FALSE)),"")</f>
        <v/>
      </c>
      <c r="I235" s="4"/>
      <c r="J235" s="4"/>
      <c r="K235" s="4"/>
      <c r="L235" s="4"/>
      <c r="M235" s="128" t="str">
        <f>IFERROR(VLOOKUP(B235&amp;C235,'Banco de Dados'!$I:$N,6,FALSE),"")</f>
        <v/>
      </c>
      <c r="N235" s="141" t="str">
        <f t="shared" si="7"/>
        <v/>
      </c>
    </row>
    <row r="236" spans="1:14" x14ac:dyDescent="0.25">
      <c r="A236" s="137" t="str">
        <f t="shared" si="6"/>
        <v/>
      </c>
      <c r="B236" s="4"/>
      <c r="C236" s="4"/>
      <c r="D236" s="4"/>
      <c r="E236" s="4"/>
      <c r="F236" s="4"/>
      <c r="G236" s="125"/>
      <c r="H236" s="139" t="str">
        <f ca="1">IFERROR(DATE(YEAR(NOW()),VLOOKUP(I236,'Banco de Dados'!V:W,2,FALSE),VLOOKUP(B236&amp;C236,'Banco de Dados'!$I:$M,5,FALSE)),"")</f>
        <v/>
      </c>
      <c r="I236" s="4"/>
      <c r="J236" s="4"/>
      <c r="K236" s="4"/>
      <c r="L236" s="4"/>
      <c r="M236" s="128" t="str">
        <f>IFERROR(VLOOKUP(B236&amp;C236,'Banco de Dados'!$I:$N,6,FALSE),"")</f>
        <v/>
      </c>
      <c r="N236" s="141" t="str">
        <f t="shared" si="7"/>
        <v/>
      </c>
    </row>
    <row r="237" spans="1:14" x14ac:dyDescent="0.25">
      <c r="A237" s="137" t="str">
        <f t="shared" si="6"/>
        <v/>
      </c>
      <c r="B237" s="4"/>
      <c r="C237" s="4"/>
      <c r="D237" s="4"/>
      <c r="E237" s="4"/>
      <c r="F237" s="4"/>
      <c r="G237" s="125"/>
      <c r="H237" s="139" t="str">
        <f ca="1">IFERROR(DATE(YEAR(NOW()),VLOOKUP(I237,'Banco de Dados'!V:W,2,FALSE),VLOOKUP(B237&amp;C237,'Banco de Dados'!$I:$M,5,FALSE)),"")</f>
        <v/>
      </c>
      <c r="I237" s="4"/>
      <c r="J237" s="4"/>
      <c r="K237" s="4"/>
      <c r="L237" s="4"/>
      <c r="M237" s="128" t="str">
        <f>IFERROR(VLOOKUP(B237&amp;C237,'Banco de Dados'!$I:$N,6,FALSE),"")</f>
        <v/>
      </c>
      <c r="N237" s="141" t="str">
        <f t="shared" si="7"/>
        <v/>
      </c>
    </row>
    <row r="238" spans="1:14" x14ac:dyDescent="0.25">
      <c r="A238" s="137" t="str">
        <f t="shared" si="6"/>
        <v/>
      </c>
      <c r="B238" s="4"/>
      <c r="C238" s="4"/>
      <c r="D238" s="4"/>
      <c r="E238" s="4"/>
      <c r="F238" s="4"/>
      <c r="G238" s="125"/>
      <c r="H238" s="139" t="str">
        <f ca="1">IFERROR(DATE(YEAR(NOW()),VLOOKUP(I238,'Banco de Dados'!V:W,2,FALSE),VLOOKUP(B238&amp;C238,'Banco de Dados'!$I:$M,5,FALSE)),"")</f>
        <v/>
      </c>
      <c r="I238" s="4"/>
      <c r="J238" s="4"/>
      <c r="K238" s="4"/>
      <c r="L238" s="4"/>
      <c r="M238" s="128" t="str">
        <f>IFERROR(VLOOKUP(B238&amp;C238,'Banco de Dados'!$I:$N,6,FALSE),"")</f>
        <v/>
      </c>
      <c r="N238" s="141" t="str">
        <f t="shared" si="7"/>
        <v/>
      </c>
    </row>
    <row r="239" spans="1:14" x14ac:dyDescent="0.25">
      <c r="A239" s="137" t="str">
        <f t="shared" si="6"/>
        <v/>
      </c>
      <c r="B239" s="4"/>
      <c r="C239" s="4"/>
      <c r="D239" s="4"/>
      <c r="E239" s="4"/>
      <c r="F239" s="4"/>
      <c r="G239" s="125"/>
      <c r="H239" s="139" t="str">
        <f ca="1">IFERROR(DATE(YEAR(NOW()),VLOOKUP(I239,'Banco de Dados'!V:W,2,FALSE),VLOOKUP(B239&amp;C239,'Banco de Dados'!$I:$M,5,FALSE)),"")</f>
        <v/>
      </c>
      <c r="I239" s="4"/>
      <c r="J239" s="4"/>
      <c r="K239" s="4"/>
      <c r="L239" s="4"/>
      <c r="M239" s="128" t="str">
        <f>IFERROR(VLOOKUP(B239&amp;C239,'Banco de Dados'!$I:$N,6,FALSE),"")</f>
        <v/>
      </c>
      <c r="N239" s="141" t="str">
        <f t="shared" si="7"/>
        <v/>
      </c>
    </row>
    <row r="240" spans="1:14" x14ac:dyDescent="0.25">
      <c r="A240" s="137" t="str">
        <f t="shared" si="6"/>
        <v/>
      </c>
      <c r="B240" s="4"/>
      <c r="C240" s="4"/>
      <c r="D240" s="4"/>
      <c r="E240" s="4"/>
      <c r="F240" s="4"/>
      <c r="G240" s="125"/>
      <c r="H240" s="139" t="str">
        <f ca="1">IFERROR(DATE(YEAR(NOW()),VLOOKUP(I240,'Banco de Dados'!V:W,2,FALSE),VLOOKUP(B240&amp;C240,'Banco de Dados'!$I:$M,5,FALSE)),"")</f>
        <v/>
      </c>
      <c r="I240" s="4"/>
      <c r="J240" s="4"/>
      <c r="K240" s="4"/>
      <c r="L240" s="4"/>
      <c r="M240" s="128" t="str">
        <f>IFERROR(VLOOKUP(B240&amp;C240,'Banco de Dados'!$I:$N,6,FALSE),"")</f>
        <v/>
      </c>
      <c r="N240" s="141" t="str">
        <f t="shared" si="7"/>
        <v/>
      </c>
    </row>
    <row r="241" spans="1:14" x14ac:dyDescent="0.25">
      <c r="A241" s="137" t="str">
        <f t="shared" si="6"/>
        <v/>
      </c>
      <c r="B241" s="4"/>
      <c r="C241" s="4"/>
      <c r="D241" s="4"/>
      <c r="E241" s="4"/>
      <c r="F241" s="4"/>
      <c r="G241" s="125"/>
      <c r="H241" s="139" t="str">
        <f ca="1">IFERROR(DATE(YEAR(NOW()),VLOOKUP(I241,'Banco de Dados'!V:W,2,FALSE),VLOOKUP(B241&amp;C241,'Banco de Dados'!$I:$M,5,FALSE)),"")</f>
        <v/>
      </c>
      <c r="I241" s="4"/>
      <c r="J241" s="4"/>
      <c r="K241" s="4"/>
      <c r="L241" s="4"/>
      <c r="M241" s="128" t="str">
        <f>IFERROR(VLOOKUP(B241&amp;C241,'Banco de Dados'!$I:$N,6,FALSE),"")</f>
        <v/>
      </c>
      <c r="N241" s="141" t="str">
        <f t="shared" si="7"/>
        <v/>
      </c>
    </row>
    <row r="242" spans="1:14" x14ac:dyDescent="0.25">
      <c r="A242" s="137" t="str">
        <f t="shared" si="6"/>
        <v/>
      </c>
      <c r="B242" s="4"/>
      <c r="C242" s="4"/>
      <c r="D242" s="4"/>
      <c r="E242" s="4"/>
      <c r="F242" s="4"/>
      <c r="G242" s="125"/>
      <c r="H242" s="139" t="str">
        <f ca="1">IFERROR(DATE(YEAR(NOW()),VLOOKUP(I242,'Banco de Dados'!V:W,2,FALSE),VLOOKUP(B242&amp;C242,'Banco de Dados'!$I:$M,5,FALSE)),"")</f>
        <v/>
      </c>
      <c r="I242" s="4"/>
      <c r="J242" s="4"/>
      <c r="K242" s="4"/>
      <c r="L242" s="4"/>
      <c r="M242" s="128" t="str">
        <f>IFERROR(VLOOKUP(B242&amp;C242,'Banco de Dados'!$I:$N,6,FALSE),"")</f>
        <v/>
      </c>
      <c r="N242" s="141" t="str">
        <f t="shared" si="7"/>
        <v/>
      </c>
    </row>
    <row r="243" spans="1:14" x14ac:dyDescent="0.25">
      <c r="A243" s="137" t="str">
        <f t="shared" si="6"/>
        <v/>
      </c>
      <c r="B243" s="4"/>
      <c r="C243" s="4"/>
      <c r="D243" s="4"/>
      <c r="E243" s="4"/>
      <c r="F243" s="4"/>
      <c r="G243" s="125"/>
      <c r="H243" s="139" t="str">
        <f ca="1">IFERROR(DATE(YEAR(NOW()),VLOOKUP(I243,'Banco de Dados'!V:W,2,FALSE),VLOOKUP(B243&amp;C243,'Banco de Dados'!$I:$M,5,FALSE)),"")</f>
        <v/>
      </c>
      <c r="I243" s="4"/>
      <c r="J243" s="4"/>
      <c r="K243" s="4"/>
      <c r="L243" s="4"/>
      <c r="M243" s="128" t="str">
        <f>IFERROR(VLOOKUP(B243&amp;C243,'Banco de Dados'!$I:$N,6,FALSE),"")</f>
        <v/>
      </c>
      <c r="N243" s="141" t="str">
        <f t="shared" si="7"/>
        <v/>
      </c>
    </row>
    <row r="244" spans="1:14" x14ac:dyDescent="0.25">
      <c r="A244" s="137" t="str">
        <f t="shared" si="6"/>
        <v/>
      </c>
      <c r="B244" s="4"/>
      <c r="C244" s="4"/>
      <c r="D244" s="4"/>
      <c r="E244" s="4"/>
      <c r="F244" s="4"/>
      <c r="G244" s="125"/>
      <c r="H244" s="139" t="str">
        <f ca="1">IFERROR(DATE(YEAR(NOW()),VLOOKUP(I244,'Banco de Dados'!V:W,2,FALSE),VLOOKUP(B244&amp;C244,'Banco de Dados'!$I:$M,5,FALSE)),"")</f>
        <v/>
      </c>
      <c r="I244" s="4"/>
      <c r="J244" s="4"/>
      <c r="K244" s="4"/>
      <c r="L244" s="4"/>
      <c r="M244" s="128" t="str">
        <f>IFERROR(VLOOKUP(B244&amp;C244,'Banco de Dados'!$I:$N,6,FALSE),"")</f>
        <v/>
      </c>
      <c r="N244" s="141" t="str">
        <f t="shared" si="7"/>
        <v/>
      </c>
    </row>
    <row r="245" spans="1:14" x14ac:dyDescent="0.25">
      <c r="A245" s="137" t="str">
        <f t="shared" si="6"/>
        <v/>
      </c>
      <c r="B245" s="4"/>
      <c r="C245" s="4"/>
      <c r="D245" s="4"/>
      <c r="E245" s="4"/>
      <c r="F245" s="4"/>
      <c r="G245" s="125"/>
      <c r="H245" s="139" t="str">
        <f ca="1">IFERROR(DATE(YEAR(NOW()),VLOOKUP(I245,'Banco de Dados'!V:W,2,FALSE),VLOOKUP(B245&amp;C245,'Banco de Dados'!$I:$M,5,FALSE)),"")</f>
        <v/>
      </c>
      <c r="I245" s="4"/>
      <c r="J245" s="4"/>
      <c r="K245" s="4"/>
      <c r="L245" s="4"/>
      <c r="M245" s="128" t="str">
        <f>IFERROR(VLOOKUP(B245&amp;C245,'Banco de Dados'!$I:$N,6,FALSE),"")</f>
        <v/>
      </c>
      <c r="N245" s="141" t="str">
        <f t="shared" si="7"/>
        <v/>
      </c>
    </row>
    <row r="246" spans="1:14" x14ac:dyDescent="0.25">
      <c r="A246" s="137" t="str">
        <f t="shared" si="6"/>
        <v/>
      </c>
      <c r="B246" s="4"/>
      <c r="C246" s="4"/>
      <c r="D246" s="4"/>
      <c r="E246" s="4"/>
      <c r="F246" s="4"/>
      <c r="G246" s="125"/>
      <c r="H246" s="139" t="str">
        <f ca="1">IFERROR(DATE(YEAR(NOW()),VLOOKUP(I246,'Banco de Dados'!V:W,2,FALSE),VLOOKUP(B246&amp;C246,'Banco de Dados'!$I:$M,5,FALSE)),"")</f>
        <v/>
      </c>
      <c r="I246" s="4"/>
      <c r="J246" s="4"/>
      <c r="K246" s="4"/>
      <c r="L246" s="4"/>
      <c r="M246" s="128" t="str">
        <f>IFERROR(VLOOKUP(B246&amp;C246,'Banco de Dados'!$I:$N,6,FALSE),"")</f>
        <v/>
      </c>
      <c r="N246" s="141" t="str">
        <f t="shared" si="7"/>
        <v/>
      </c>
    </row>
    <row r="247" spans="1:14" x14ac:dyDescent="0.25">
      <c r="A247" s="137" t="str">
        <f t="shared" si="6"/>
        <v/>
      </c>
      <c r="B247" s="4"/>
      <c r="C247" s="4"/>
      <c r="D247" s="4"/>
      <c r="E247" s="4"/>
      <c r="F247" s="4"/>
      <c r="G247" s="125"/>
      <c r="H247" s="139" t="str">
        <f ca="1">IFERROR(DATE(YEAR(NOW()),VLOOKUP(I247,'Banco de Dados'!V:W,2,FALSE),VLOOKUP(B247&amp;C247,'Banco de Dados'!$I:$M,5,FALSE)),"")</f>
        <v/>
      </c>
      <c r="I247" s="4"/>
      <c r="J247" s="4"/>
      <c r="K247" s="4"/>
      <c r="L247" s="4"/>
      <c r="M247" s="128" t="str">
        <f>IFERROR(VLOOKUP(B247&amp;C247,'Banco de Dados'!$I:$N,6,FALSE),"")</f>
        <v/>
      </c>
      <c r="N247" s="141" t="str">
        <f t="shared" si="7"/>
        <v/>
      </c>
    </row>
    <row r="248" spans="1:14" x14ac:dyDescent="0.25">
      <c r="A248" s="137" t="str">
        <f t="shared" si="6"/>
        <v/>
      </c>
      <c r="B248" s="4"/>
      <c r="C248" s="4"/>
      <c r="D248" s="4"/>
      <c r="E248" s="4"/>
      <c r="F248" s="4"/>
      <c r="G248" s="125"/>
      <c r="H248" s="139" t="str">
        <f ca="1">IFERROR(DATE(YEAR(NOW()),VLOOKUP(I248,'Banco de Dados'!V:W,2,FALSE),VLOOKUP(B248&amp;C248,'Banco de Dados'!$I:$M,5,FALSE)),"")</f>
        <v/>
      </c>
      <c r="I248" s="4"/>
      <c r="J248" s="4"/>
      <c r="K248" s="4"/>
      <c r="L248" s="4"/>
      <c r="M248" s="128" t="str">
        <f>IFERROR(VLOOKUP(B248&amp;C248,'Banco de Dados'!$I:$N,6,FALSE),"")</f>
        <v/>
      </c>
      <c r="N248" s="141" t="str">
        <f t="shared" si="7"/>
        <v/>
      </c>
    </row>
    <row r="249" spans="1:14" x14ac:dyDescent="0.25">
      <c r="A249" s="137" t="str">
        <f t="shared" si="6"/>
        <v/>
      </c>
      <c r="B249" s="4"/>
      <c r="C249" s="4"/>
      <c r="D249" s="4"/>
      <c r="E249" s="4"/>
      <c r="F249" s="4"/>
      <c r="G249" s="125"/>
      <c r="H249" s="139" t="str">
        <f ca="1">IFERROR(DATE(YEAR(NOW()),VLOOKUP(I249,'Banco de Dados'!V:W,2,FALSE),VLOOKUP(B249&amp;C249,'Banco de Dados'!$I:$M,5,FALSE)),"")</f>
        <v/>
      </c>
      <c r="I249" s="4"/>
      <c r="J249" s="4"/>
      <c r="K249" s="4"/>
      <c r="L249" s="4"/>
      <c r="M249" s="128" t="str">
        <f>IFERROR(VLOOKUP(B249&amp;C249,'Banco de Dados'!$I:$N,6,FALSE),"")</f>
        <v/>
      </c>
      <c r="N249" s="141" t="str">
        <f t="shared" si="7"/>
        <v/>
      </c>
    </row>
    <row r="250" spans="1:14" x14ac:dyDescent="0.25">
      <c r="A250" s="137" t="str">
        <f t="shared" si="6"/>
        <v/>
      </c>
      <c r="B250" s="4"/>
      <c r="C250" s="4"/>
      <c r="D250" s="4"/>
      <c r="E250" s="4"/>
      <c r="F250" s="4"/>
      <c r="G250" s="125"/>
      <c r="H250" s="139" t="str">
        <f ca="1">IFERROR(DATE(YEAR(NOW()),VLOOKUP(I250,'Banco de Dados'!V:W,2,FALSE),VLOOKUP(B250&amp;C250,'Banco de Dados'!$I:$M,5,FALSE)),"")</f>
        <v/>
      </c>
      <c r="I250" s="4"/>
      <c r="J250" s="4"/>
      <c r="K250" s="4"/>
      <c r="L250" s="4"/>
      <c r="M250" s="128" t="str">
        <f>IFERROR(VLOOKUP(B250&amp;C250,'Banco de Dados'!$I:$N,6,FALSE),"")</f>
        <v/>
      </c>
      <c r="N250" s="141" t="str">
        <f t="shared" si="7"/>
        <v/>
      </c>
    </row>
    <row r="251" spans="1:14" x14ac:dyDescent="0.25">
      <c r="A251" s="137" t="str">
        <f t="shared" si="6"/>
        <v/>
      </c>
      <c r="B251" s="4"/>
      <c r="C251" s="4"/>
      <c r="D251" s="4"/>
      <c r="E251" s="4"/>
      <c r="F251" s="4"/>
      <c r="G251" s="125"/>
      <c r="H251" s="139" t="str">
        <f ca="1">IFERROR(DATE(YEAR(NOW()),VLOOKUP(I251,'Banco de Dados'!V:W,2,FALSE),VLOOKUP(B251&amp;C251,'Banco de Dados'!$I:$M,5,FALSE)),"")</f>
        <v/>
      </c>
      <c r="I251" s="4"/>
      <c r="J251" s="4"/>
      <c r="K251" s="4"/>
      <c r="L251" s="4"/>
      <c r="M251" s="128" t="str">
        <f>IFERROR(VLOOKUP(B251&amp;C251,'Banco de Dados'!$I:$N,6,FALSE),"")</f>
        <v/>
      </c>
      <c r="N251" s="141" t="str">
        <f t="shared" si="7"/>
        <v/>
      </c>
    </row>
    <row r="252" spans="1:14" x14ac:dyDescent="0.25">
      <c r="A252" s="137" t="str">
        <f t="shared" si="6"/>
        <v/>
      </c>
      <c r="B252" s="4"/>
      <c r="C252" s="4"/>
      <c r="D252" s="4"/>
      <c r="E252" s="4"/>
      <c r="F252" s="4"/>
      <c r="G252" s="125"/>
      <c r="H252" s="139" t="str">
        <f ca="1">IFERROR(DATE(YEAR(NOW()),VLOOKUP(I252,'Banco de Dados'!V:W,2,FALSE),VLOOKUP(B252&amp;C252,'Banco de Dados'!$I:$M,5,FALSE)),"")</f>
        <v/>
      </c>
      <c r="I252" s="4"/>
      <c r="J252" s="4"/>
      <c r="K252" s="4"/>
      <c r="L252" s="4"/>
      <c r="M252" s="128" t="str">
        <f>IFERROR(VLOOKUP(B252&amp;C252,'Banco de Dados'!$I:$N,6,FALSE),"")</f>
        <v/>
      </c>
      <c r="N252" s="141" t="str">
        <f t="shared" si="7"/>
        <v/>
      </c>
    </row>
    <row r="253" spans="1:14" x14ac:dyDescent="0.25">
      <c r="A253" s="137" t="str">
        <f t="shared" si="6"/>
        <v/>
      </c>
      <c r="B253" s="4"/>
      <c r="C253" s="4"/>
      <c r="D253" s="4"/>
      <c r="E253" s="4"/>
      <c r="F253" s="4"/>
      <c r="G253" s="125"/>
      <c r="H253" s="139" t="str">
        <f ca="1">IFERROR(DATE(YEAR(NOW()),VLOOKUP(I253,'Banco de Dados'!V:W,2,FALSE),VLOOKUP(B253&amp;C253,'Banco de Dados'!$I:$M,5,FALSE)),"")</f>
        <v/>
      </c>
      <c r="I253" s="4"/>
      <c r="J253" s="4"/>
      <c r="K253" s="4"/>
      <c r="L253" s="4"/>
      <c r="M253" s="128" t="str">
        <f>IFERROR(VLOOKUP(B253&amp;C253,'Banco de Dados'!$I:$N,6,FALSE),"")</f>
        <v/>
      </c>
      <c r="N253" s="141" t="str">
        <f t="shared" si="7"/>
        <v/>
      </c>
    </row>
    <row r="254" spans="1:14" x14ac:dyDescent="0.25">
      <c r="A254" s="137" t="str">
        <f t="shared" si="6"/>
        <v/>
      </c>
      <c r="B254" s="4"/>
      <c r="C254" s="4"/>
      <c r="D254" s="4"/>
      <c r="E254" s="4"/>
      <c r="F254" s="4"/>
      <c r="G254" s="125"/>
      <c r="H254" s="139" t="str">
        <f ca="1">IFERROR(DATE(YEAR(NOW()),VLOOKUP(I254,'Banco de Dados'!V:W,2,FALSE),VLOOKUP(B254&amp;C254,'Banco de Dados'!$I:$M,5,FALSE)),"")</f>
        <v/>
      </c>
      <c r="I254" s="4"/>
      <c r="J254" s="4"/>
      <c r="K254" s="4"/>
      <c r="L254" s="4"/>
      <c r="M254" s="128" t="str">
        <f>IFERROR(VLOOKUP(B254&amp;C254,'Banco de Dados'!$I:$N,6,FALSE),"")</f>
        <v/>
      </c>
      <c r="N254" s="141" t="str">
        <f t="shared" si="7"/>
        <v/>
      </c>
    </row>
    <row r="255" spans="1:14" x14ac:dyDescent="0.25">
      <c r="A255" s="137" t="str">
        <f t="shared" si="6"/>
        <v/>
      </c>
      <c r="B255" s="4"/>
      <c r="C255" s="4"/>
      <c r="D255" s="4"/>
      <c r="E255" s="4"/>
      <c r="F255" s="4"/>
      <c r="G255" s="125"/>
      <c r="H255" s="139" t="str">
        <f ca="1">IFERROR(DATE(YEAR(NOW()),VLOOKUP(I255,'Banco de Dados'!V:W,2,FALSE),VLOOKUP(B255&amp;C255,'Banco de Dados'!$I:$M,5,FALSE)),"")</f>
        <v/>
      </c>
      <c r="I255" s="4"/>
      <c r="J255" s="4"/>
      <c r="K255" s="4"/>
      <c r="L255" s="4"/>
      <c r="M255" s="128" t="str">
        <f>IFERROR(VLOOKUP(B255&amp;C255,'Banco de Dados'!$I:$N,6,FALSE),"")</f>
        <v/>
      </c>
      <c r="N255" s="141" t="str">
        <f t="shared" si="7"/>
        <v/>
      </c>
    </row>
    <row r="256" spans="1:14" x14ac:dyDescent="0.25">
      <c r="A256" s="137" t="str">
        <f t="shared" si="6"/>
        <v/>
      </c>
      <c r="B256" s="4"/>
      <c r="C256" s="4"/>
      <c r="D256" s="4"/>
      <c r="E256" s="4"/>
      <c r="F256" s="4"/>
      <c r="G256" s="125"/>
      <c r="H256" s="139" t="str">
        <f ca="1">IFERROR(DATE(YEAR(NOW()),VLOOKUP(I256,'Banco de Dados'!V:W,2,FALSE),VLOOKUP(B256&amp;C256,'Banco de Dados'!$I:$M,5,FALSE)),"")</f>
        <v/>
      </c>
      <c r="I256" s="4"/>
      <c r="J256" s="4"/>
      <c r="K256" s="4"/>
      <c r="L256" s="4"/>
      <c r="M256" s="128" t="str">
        <f>IFERROR(VLOOKUP(B256&amp;C256,'Banco de Dados'!$I:$N,6,FALSE),"")</f>
        <v/>
      </c>
      <c r="N256" s="141" t="str">
        <f t="shared" si="7"/>
        <v/>
      </c>
    </row>
    <row r="257" spans="1:14" x14ac:dyDescent="0.25">
      <c r="A257" s="137" t="str">
        <f t="shared" si="6"/>
        <v/>
      </c>
      <c r="B257" s="4"/>
      <c r="C257" s="4"/>
      <c r="D257" s="4"/>
      <c r="E257" s="4"/>
      <c r="F257" s="4"/>
      <c r="G257" s="125"/>
      <c r="H257" s="139" t="str">
        <f ca="1">IFERROR(DATE(YEAR(NOW()),VLOOKUP(I257,'Banco de Dados'!V:W,2,FALSE),VLOOKUP(B257&amp;C257,'Banco de Dados'!$I:$M,5,FALSE)),"")</f>
        <v/>
      </c>
      <c r="I257" s="4"/>
      <c r="J257" s="4"/>
      <c r="K257" s="4"/>
      <c r="L257" s="4"/>
      <c r="M257" s="128" t="str">
        <f>IFERROR(VLOOKUP(B257&amp;C257,'Banco de Dados'!$I:$N,6,FALSE),"")</f>
        <v/>
      </c>
      <c r="N257" s="141" t="str">
        <f t="shared" si="7"/>
        <v/>
      </c>
    </row>
    <row r="258" spans="1:14" x14ac:dyDescent="0.25">
      <c r="A258" s="137" t="str">
        <f t="shared" si="6"/>
        <v/>
      </c>
      <c r="B258" s="4"/>
      <c r="C258" s="4"/>
      <c r="D258" s="4"/>
      <c r="E258" s="4"/>
      <c r="F258" s="4"/>
      <c r="G258" s="125"/>
      <c r="H258" s="139" t="str">
        <f ca="1">IFERROR(DATE(YEAR(NOW()),VLOOKUP(I258,'Banco de Dados'!V:W,2,FALSE),VLOOKUP(B258&amp;C258,'Banco de Dados'!$I:$M,5,FALSE)),"")</f>
        <v/>
      </c>
      <c r="I258" s="4"/>
      <c r="J258" s="4"/>
      <c r="K258" s="4"/>
      <c r="L258" s="4"/>
      <c r="M258" s="128" t="str">
        <f>IFERROR(VLOOKUP(B258&amp;C258,'Banco de Dados'!$I:$N,6,FALSE),"")</f>
        <v/>
      </c>
      <c r="N258" s="141" t="str">
        <f t="shared" si="7"/>
        <v/>
      </c>
    </row>
    <row r="259" spans="1:14" x14ac:dyDescent="0.25">
      <c r="A259" s="137" t="str">
        <f t="shared" si="6"/>
        <v/>
      </c>
      <c r="B259" s="4"/>
      <c r="C259" s="4"/>
      <c r="D259" s="4"/>
      <c r="E259" s="4"/>
      <c r="F259" s="4"/>
      <c r="G259" s="125"/>
      <c r="H259" s="139" t="str">
        <f ca="1">IFERROR(DATE(YEAR(NOW()),VLOOKUP(I259,'Banco de Dados'!V:W,2,FALSE),VLOOKUP(B259&amp;C259,'Banco de Dados'!$I:$M,5,FALSE)),"")</f>
        <v/>
      </c>
      <c r="I259" s="4"/>
      <c r="J259" s="4"/>
      <c r="K259" s="4"/>
      <c r="L259" s="4"/>
      <c r="M259" s="128" t="str">
        <f>IFERROR(VLOOKUP(B259&amp;C259,'Banco de Dados'!$I:$N,6,FALSE),"")</f>
        <v/>
      </c>
      <c r="N259" s="141" t="str">
        <f t="shared" si="7"/>
        <v/>
      </c>
    </row>
    <row r="260" spans="1:14" x14ac:dyDescent="0.25">
      <c r="A260" s="137" t="str">
        <f t="shared" ref="A260:A306" si="8">IF(I260="","",IF(I260=I259,A259+1,1))</f>
        <v/>
      </c>
      <c r="B260" s="4"/>
      <c r="C260" s="4"/>
      <c r="D260" s="4"/>
      <c r="E260" s="4"/>
      <c r="F260" s="4"/>
      <c r="G260" s="125"/>
      <c r="H260" s="139" t="str">
        <f ca="1">IFERROR(DATE(YEAR(NOW()),VLOOKUP(I260,'Banco de Dados'!V:W,2,FALSE),VLOOKUP(B260&amp;C260,'Banco de Dados'!$I:$M,5,FALSE)),"")</f>
        <v/>
      </c>
      <c r="I260" s="4"/>
      <c r="J260" s="4"/>
      <c r="K260" s="4"/>
      <c r="L260" s="4"/>
      <c r="M260" s="128" t="str">
        <f>IFERROR(VLOOKUP(B260&amp;C260,'Banco de Dados'!$I:$N,6,FALSE),"")</f>
        <v/>
      </c>
      <c r="N260" s="141" t="str">
        <f t="shared" si="7"/>
        <v/>
      </c>
    </row>
    <row r="261" spans="1:14" x14ac:dyDescent="0.25">
      <c r="A261" s="137" t="str">
        <f t="shared" si="8"/>
        <v/>
      </c>
      <c r="B261" s="4"/>
      <c r="C261" s="4"/>
      <c r="D261" s="4"/>
      <c r="E261" s="4"/>
      <c r="F261" s="4"/>
      <c r="G261" s="125"/>
      <c r="H261" s="139" t="str">
        <f ca="1">IFERROR(DATE(YEAR(NOW()),VLOOKUP(I261,'Banco de Dados'!V:W,2,FALSE),VLOOKUP(B261&amp;C261,'Banco de Dados'!$I:$M,5,FALSE)),"")</f>
        <v/>
      </c>
      <c r="I261" s="4"/>
      <c r="J261" s="4"/>
      <c r="K261" s="4"/>
      <c r="L261" s="4"/>
      <c r="M261" s="128" t="str">
        <f>IFERROR(VLOOKUP(B261&amp;C261,'Banco de Dados'!$I:$N,6,FALSE),"")</f>
        <v/>
      </c>
      <c r="N261" s="141" t="str">
        <f t="shared" ref="N261:N306" si="9">IFERROR((G261-M261)/ABS(G261),"")</f>
        <v/>
      </c>
    </row>
    <row r="262" spans="1:14" x14ac:dyDescent="0.25">
      <c r="A262" s="137" t="str">
        <f t="shared" si="8"/>
        <v/>
      </c>
      <c r="B262" s="4"/>
      <c r="C262" s="4"/>
      <c r="D262" s="4"/>
      <c r="E262" s="4"/>
      <c r="F262" s="4"/>
      <c r="G262" s="125"/>
      <c r="H262" s="139" t="str">
        <f ca="1">IFERROR(DATE(YEAR(NOW()),VLOOKUP(I262,'Banco de Dados'!V:W,2,FALSE),VLOOKUP(B262&amp;C262,'Banco de Dados'!$I:$M,5,FALSE)),"")</f>
        <v/>
      </c>
      <c r="I262" s="4"/>
      <c r="J262" s="4"/>
      <c r="K262" s="4"/>
      <c r="L262" s="4"/>
      <c r="M262" s="128" t="str">
        <f>IFERROR(VLOOKUP(B262&amp;C262,'Banco de Dados'!$I:$N,6,FALSE),"")</f>
        <v/>
      </c>
      <c r="N262" s="141" t="str">
        <f t="shared" si="9"/>
        <v/>
      </c>
    </row>
    <row r="263" spans="1:14" x14ac:dyDescent="0.25">
      <c r="A263" s="137" t="str">
        <f t="shared" si="8"/>
        <v/>
      </c>
      <c r="B263" s="4"/>
      <c r="C263" s="4"/>
      <c r="D263" s="4"/>
      <c r="E263" s="4"/>
      <c r="F263" s="4"/>
      <c r="G263" s="125"/>
      <c r="H263" s="139" t="str">
        <f ca="1">IFERROR(DATE(YEAR(NOW()),VLOOKUP(I263,'Banco de Dados'!V:W,2,FALSE),VLOOKUP(B263&amp;C263,'Banco de Dados'!$I:$M,5,FALSE)),"")</f>
        <v/>
      </c>
      <c r="I263" s="4"/>
      <c r="J263" s="4"/>
      <c r="K263" s="4"/>
      <c r="L263" s="4"/>
      <c r="M263" s="128" t="str">
        <f>IFERROR(VLOOKUP(B263&amp;C263,'Banco de Dados'!$I:$N,6,FALSE),"")</f>
        <v/>
      </c>
      <c r="N263" s="141" t="str">
        <f t="shared" si="9"/>
        <v/>
      </c>
    </row>
    <row r="264" spans="1:14" x14ac:dyDescent="0.25">
      <c r="A264" s="137" t="str">
        <f t="shared" si="8"/>
        <v/>
      </c>
      <c r="B264" s="4"/>
      <c r="C264" s="4"/>
      <c r="D264" s="4"/>
      <c r="E264" s="4"/>
      <c r="F264" s="4"/>
      <c r="G264" s="125"/>
      <c r="H264" s="139" t="str">
        <f ca="1">IFERROR(DATE(YEAR(NOW()),VLOOKUP(I264,'Banco de Dados'!V:W,2,FALSE),VLOOKUP(B264&amp;C264,'Banco de Dados'!$I:$M,5,FALSE)),"")</f>
        <v/>
      </c>
      <c r="I264" s="4"/>
      <c r="J264" s="4"/>
      <c r="K264" s="4"/>
      <c r="L264" s="4"/>
      <c r="M264" s="128" t="str">
        <f>IFERROR(VLOOKUP(B264&amp;C264,'Banco de Dados'!$I:$N,6,FALSE),"")</f>
        <v/>
      </c>
      <c r="N264" s="141" t="str">
        <f t="shared" si="9"/>
        <v/>
      </c>
    </row>
    <row r="265" spans="1:14" x14ac:dyDescent="0.25">
      <c r="A265" s="137" t="str">
        <f t="shared" si="8"/>
        <v/>
      </c>
      <c r="B265" s="4"/>
      <c r="C265" s="4"/>
      <c r="D265" s="4"/>
      <c r="E265" s="4"/>
      <c r="F265" s="4"/>
      <c r="G265" s="125"/>
      <c r="H265" s="139" t="str">
        <f ca="1">IFERROR(DATE(YEAR(NOW()),VLOOKUP(I265,'Banco de Dados'!V:W,2,FALSE),VLOOKUP(B265&amp;C265,'Banco de Dados'!$I:$M,5,FALSE)),"")</f>
        <v/>
      </c>
      <c r="I265" s="4"/>
      <c r="J265" s="4"/>
      <c r="K265" s="4"/>
      <c r="L265" s="4"/>
      <c r="M265" s="128" t="str">
        <f>IFERROR(VLOOKUP(B265&amp;C265,'Banco de Dados'!$I:$N,6,FALSE),"")</f>
        <v/>
      </c>
      <c r="N265" s="141" t="str">
        <f t="shared" si="9"/>
        <v/>
      </c>
    </row>
    <row r="266" spans="1:14" x14ac:dyDescent="0.25">
      <c r="A266" s="137" t="str">
        <f t="shared" si="8"/>
        <v/>
      </c>
      <c r="B266" s="4"/>
      <c r="C266" s="4"/>
      <c r="D266" s="4"/>
      <c r="E266" s="4"/>
      <c r="F266" s="4"/>
      <c r="G266" s="125"/>
      <c r="H266" s="139" t="str">
        <f ca="1">IFERROR(DATE(YEAR(NOW()),VLOOKUP(I266,'Banco de Dados'!V:W,2,FALSE),VLOOKUP(B266&amp;C266,'Banco de Dados'!$I:$M,5,FALSE)),"")</f>
        <v/>
      </c>
      <c r="I266" s="4"/>
      <c r="J266" s="4"/>
      <c r="K266" s="4"/>
      <c r="L266" s="4"/>
      <c r="M266" s="128" t="str">
        <f>IFERROR(VLOOKUP(B266&amp;C266,'Banco de Dados'!$I:$N,6,FALSE),"")</f>
        <v/>
      </c>
      <c r="N266" s="141" t="str">
        <f t="shared" si="9"/>
        <v/>
      </c>
    </row>
    <row r="267" spans="1:14" x14ac:dyDescent="0.25">
      <c r="A267" s="137" t="str">
        <f t="shared" si="8"/>
        <v/>
      </c>
      <c r="B267" s="4"/>
      <c r="C267" s="4"/>
      <c r="D267" s="4"/>
      <c r="E267" s="4"/>
      <c r="F267" s="4"/>
      <c r="G267" s="125"/>
      <c r="H267" s="139" t="str">
        <f ca="1">IFERROR(DATE(YEAR(NOW()),VLOOKUP(I267,'Banco de Dados'!V:W,2,FALSE),VLOOKUP(B267&amp;C267,'Banco de Dados'!$I:$M,5,FALSE)),"")</f>
        <v/>
      </c>
      <c r="I267" s="4"/>
      <c r="J267" s="4"/>
      <c r="K267" s="4"/>
      <c r="L267" s="4"/>
      <c r="M267" s="128" t="str">
        <f>IFERROR(VLOOKUP(B267&amp;C267,'Banco de Dados'!$I:$N,6,FALSE),"")</f>
        <v/>
      </c>
      <c r="N267" s="141" t="str">
        <f t="shared" si="9"/>
        <v/>
      </c>
    </row>
    <row r="268" spans="1:14" x14ac:dyDescent="0.25">
      <c r="A268" s="137" t="str">
        <f t="shared" si="8"/>
        <v/>
      </c>
      <c r="B268" s="4"/>
      <c r="C268" s="4"/>
      <c r="D268" s="4"/>
      <c r="E268" s="4"/>
      <c r="F268" s="4"/>
      <c r="G268" s="125"/>
      <c r="H268" s="139" t="str">
        <f ca="1">IFERROR(DATE(YEAR(NOW()),VLOOKUP(I268,'Banco de Dados'!V:W,2,FALSE),VLOOKUP(B268&amp;C268,'Banco de Dados'!$I:$M,5,FALSE)),"")</f>
        <v/>
      </c>
      <c r="I268" s="4"/>
      <c r="J268" s="4"/>
      <c r="K268" s="4"/>
      <c r="L268" s="4"/>
      <c r="M268" s="128" t="str">
        <f>IFERROR(VLOOKUP(B268&amp;C268,'Banco de Dados'!$I:$N,6,FALSE),"")</f>
        <v/>
      </c>
      <c r="N268" s="141" t="str">
        <f t="shared" si="9"/>
        <v/>
      </c>
    </row>
    <row r="269" spans="1:14" x14ac:dyDescent="0.25">
      <c r="A269" s="137" t="str">
        <f t="shared" si="8"/>
        <v/>
      </c>
      <c r="B269" s="4"/>
      <c r="C269" s="4"/>
      <c r="D269" s="4"/>
      <c r="E269" s="4"/>
      <c r="F269" s="4"/>
      <c r="G269" s="125"/>
      <c r="H269" s="139" t="str">
        <f ca="1">IFERROR(DATE(YEAR(NOW()),VLOOKUP(I269,'Banco de Dados'!V:W,2,FALSE),VLOOKUP(B269&amp;C269,'Banco de Dados'!$I:$M,5,FALSE)),"")</f>
        <v/>
      </c>
      <c r="I269" s="4"/>
      <c r="J269" s="4"/>
      <c r="K269" s="4"/>
      <c r="L269" s="4"/>
      <c r="M269" s="128" t="str">
        <f>IFERROR(VLOOKUP(B269&amp;C269,'Banco de Dados'!$I:$N,6,FALSE),"")</f>
        <v/>
      </c>
      <c r="N269" s="141" t="str">
        <f t="shared" si="9"/>
        <v/>
      </c>
    </row>
    <row r="270" spans="1:14" x14ac:dyDescent="0.25">
      <c r="A270" s="137" t="str">
        <f t="shared" si="8"/>
        <v/>
      </c>
      <c r="B270" s="4"/>
      <c r="C270" s="4"/>
      <c r="D270" s="4"/>
      <c r="E270" s="4"/>
      <c r="F270" s="4"/>
      <c r="G270" s="125"/>
      <c r="H270" s="139" t="str">
        <f ca="1">IFERROR(DATE(YEAR(NOW()),VLOOKUP(I270,'Banco de Dados'!V:W,2,FALSE),VLOOKUP(B270&amp;C270,'Banco de Dados'!$I:$M,5,FALSE)),"")</f>
        <v/>
      </c>
      <c r="I270" s="4"/>
      <c r="J270" s="4"/>
      <c r="K270" s="4"/>
      <c r="L270" s="4"/>
      <c r="M270" s="128" t="str">
        <f>IFERROR(VLOOKUP(B270&amp;C270,'Banco de Dados'!$I:$N,6,FALSE),"")</f>
        <v/>
      </c>
      <c r="N270" s="141" t="str">
        <f t="shared" si="9"/>
        <v/>
      </c>
    </row>
    <row r="271" spans="1:14" x14ac:dyDescent="0.25">
      <c r="A271" s="137" t="str">
        <f t="shared" si="8"/>
        <v/>
      </c>
      <c r="B271" s="4"/>
      <c r="C271" s="4"/>
      <c r="D271" s="4"/>
      <c r="E271" s="4"/>
      <c r="F271" s="4"/>
      <c r="G271" s="125"/>
      <c r="H271" s="139" t="str">
        <f ca="1">IFERROR(DATE(YEAR(NOW()),VLOOKUP(I271,'Banco de Dados'!V:W,2,FALSE),VLOOKUP(B271&amp;C271,'Banco de Dados'!$I:$M,5,FALSE)),"")</f>
        <v/>
      </c>
      <c r="I271" s="4"/>
      <c r="J271" s="4"/>
      <c r="K271" s="4"/>
      <c r="L271" s="4"/>
      <c r="M271" s="128" t="str">
        <f>IFERROR(VLOOKUP(B271&amp;C271,'Banco de Dados'!$I:$N,6,FALSE),"")</f>
        <v/>
      </c>
      <c r="N271" s="141" t="str">
        <f t="shared" si="9"/>
        <v/>
      </c>
    </row>
    <row r="272" spans="1:14" x14ac:dyDescent="0.25">
      <c r="A272" s="137" t="str">
        <f t="shared" si="8"/>
        <v/>
      </c>
      <c r="B272" s="4"/>
      <c r="C272" s="4"/>
      <c r="D272" s="4"/>
      <c r="E272" s="4"/>
      <c r="F272" s="4"/>
      <c r="G272" s="125"/>
      <c r="H272" s="139" t="str">
        <f ca="1">IFERROR(DATE(YEAR(NOW()),VLOOKUP(I272,'Banco de Dados'!V:W,2,FALSE),VLOOKUP(B272&amp;C272,'Banco de Dados'!$I:$M,5,FALSE)),"")</f>
        <v/>
      </c>
      <c r="I272" s="4"/>
      <c r="J272" s="4"/>
      <c r="K272" s="4"/>
      <c r="L272" s="4"/>
      <c r="M272" s="128" t="str">
        <f>IFERROR(VLOOKUP(B272&amp;C272,'Banco de Dados'!$I:$N,6,FALSE),"")</f>
        <v/>
      </c>
      <c r="N272" s="141" t="str">
        <f t="shared" si="9"/>
        <v/>
      </c>
    </row>
    <row r="273" spans="1:14" x14ac:dyDescent="0.25">
      <c r="A273" s="137" t="str">
        <f t="shared" si="8"/>
        <v/>
      </c>
      <c r="B273" s="4"/>
      <c r="C273" s="4"/>
      <c r="D273" s="4"/>
      <c r="E273" s="4"/>
      <c r="F273" s="4"/>
      <c r="G273" s="125"/>
      <c r="H273" s="139" t="str">
        <f ca="1">IFERROR(DATE(YEAR(NOW()),VLOOKUP(I273,'Banco de Dados'!V:W,2,FALSE),VLOOKUP(B273&amp;C273,'Banco de Dados'!$I:$M,5,FALSE)),"")</f>
        <v/>
      </c>
      <c r="I273" s="4"/>
      <c r="J273" s="4"/>
      <c r="K273" s="4"/>
      <c r="L273" s="4"/>
      <c r="M273" s="128" t="str">
        <f>IFERROR(VLOOKUP(B273&amp;C273,'Banco de Dados'!$I:$N,6,FALSE),"")</f>
        <v/>
      </c>
      <c r="N273" s="141" t="str">
        <f t="shared" si="9"/>
        <v/>
      </c>
    </row>
    <row r="274" spans="1:14" x14ac:dyDescent="0.25">
      <c r="A274" s="137" t="str">
        <f t="shared" si="8"/>
        <v/>
      </c>
      <c r="B274" s="4"/>
      <c r="C274" s="4"/>
      <c r="D274" s="4"/>
      <c r="E274" s="4"/>
      <c r="F274" s="4"/>
      <c r="G274" s="125"/>
      <c r="H274" s="139" t="str">
        <f ca="1">IFERROR(DATE(YEAR(NOW()),VLOOKUP(I274,'Banco de Dados'!V:W,2,FALSE),VLOOKUP(B274&amp;C274,'Banco de Dados'!$I:$M,5,FALSE)),"")</f>
        <v/>
      </c>
      <c r="I274" s="4"/>
      <c r="J274" s="4"/>
      <c r="K274" s="4"/>
      <c r="L274" s="4"/>
      <c r="M274" s="128" t="str">
        <f>IFERROR(VLOOKUP(B274&amp;C274,'Banco de Dados'!$I:$N,6,FALSE),"")</f>
        <v/>
      </c>
      <c r="N274" s="141" t="str">
        <f t="shared" si="9"/>
        <v/>
      </c>
    </row>
    <row r="275" spans="1:14" x14ac:dyDescent="0.25">
      <c r="A275" s="137" t="str">
        <f t="shared" si="8"/>
        <v/>
      </c>
      <c r="B275" s="4"/>
      <c r="C275" s="4"/>
      <c r="D275" s="4"/>
      <c r="E275" s="4"/>
      <c r="F275" s="4"/>
      <c r="G275" s="125"/>
      <c r="H275" s="139" t="str">
        <f ca="1">IFERROR(DATE(YEAR(NOW()),VLOOKUP(I275,'Banco de Dados'!V:W,2,FALSE),VLOOKUP(B275&amp;C275,'Banco de Dados'!$I:$M,5,FALSE)),"")</f>
        <v/>
      </c>
      <c r="I275" s="4"/>
      <c r="J275" s="4"/>
      <c r="K275" s="4"/>
      <c r="L275" s="4"/>
      <c r="M275" s="128" t="str">
        <f>IFERROR(VLOOKUP(B275&amp;C275,'Banco de Dados'!$I:$N,6,FALSE),"")</f>
        <v/>
      </c>
      <c r="N275" s="141" t="str">
        <f t="shared" si="9"/>
        <v/>
      </c>
    </row>
    <row r="276" spans="1:14" x14ac:dyDescent="0.25">
      <c r="A276" s="137" t="str">
        <f t="shared" si="8"/>
        <v/>
      </c>
      <c r="B276" s="4"/>
      <c r="C276" s="4"/>
      <c r="D276" s="4"/>
      <c r="E276" s="4"/>
      <c r="F276" s="4"/>
      <c r="G276" s="125"/>
      <c r="H276" s="139" t="str">
        <f ca="1">IFERROR(DATE(YEAR(NOW()),VLOOKUP(I276,'Banco de Dados'!V:W,2,FALSE),VLOOKUP(B276&amp;C276,'Banco de Dados'!$I:$M,5,FALSE)),"")</f>
        <v/>
      </c>
      <c r="I276" s="4"/>
      <c r="J276" s="4"/>
      <c r="K276" s="4"/>
      <c r="L276" s="4"/>
      <c r="M276" s="128" t="str">
        <f>IFERROR(VLOOKUP(B276&amp;C276,'Banco de Dados'!$I:$N,6,FALSE),"")</f>
        <v/>
      </c>
      <c r="N276" s="141" t="str">
        <f t="shared" si="9"/>
        <v/>
      </c>
    </row>
    <row r="277" spans="1:14" x14ac:dyDescent="0.25">
      <c r="A277" s="137" t="str">
        <f t="shared" si="8"/>
        <v/>
      </c>
      <c r="B277" s="4"/>
      <c r="C277" s="4"/>
      <c r="D277" s="4"/>
      <c r="E277" s="4"/>
      <c r="F277" s="4"/>
      <c r="G277" s="125"/>
      <c r="H277" s="139" t="str">
        <f ca="1">IFERROR(DATE(YEAR(NOW()),VLOOKUP(I277,'Banco de Dados'!V:W,2,FALSE),VLOOKUP(B277&amp;C277,'Banco de Dados'!$I:$M,5,FALSE)),"")</f>
        <v/>
      </c>
      <c r="I277" s="4"/>
      <c r="J277" s="4"/>
      <c r="K277" s="4"/>
      <c r="L277" s="4"/>
      <c r="M277" s="128" t="str">
        <f>IFERROR(VLOOKUP(B277&amp;C277,'Banco de Dados'!$I:$N,6,FALSE),"")</f>
        <v/>
      </c>
      <c r="N277" s="141" t="str">
        <f t="shared" si="9"/>
        <v/>
      </c>
    </row>
    <row r="278" spans="1:14" x14ac:dyDescent="0.25">
      <c r="A278" s="137" t="str">
        <f t="shared" si="8"/>
        <v/>
      </c>
      <c r="B278" s="4"/>
      <c r="C278" s="4"/>
      <c r="D278" s="4"/>
      <c r="E278" s="4"/>
      <c r="F278" s="4"/>
      <c r="G278" s="125"/>
      <c r="H278" s="139" t="str">
        <f ca="1">IFERROR(DATE(YEAR(NOW()),VLOOKUP(I278,'Banco de Dados'!V:W,2,FALSE),VLOOKUP(B278&amp;C278,'Banco de Dados'!$I:$M,5,FALSE)),"")</f>
        <v/>
      </c>
      <c r="I278" s="4"/>
      <c r="J278" s="4"/>
      <c r="K278" s="4"/>
      <c r="L278" s="4"/>
      <c r="M278" s="128" t="str">
        <f>IFERROR(VLOOKUP(B278&amp;C278,'Banco de Dados'!$I:$N,6,FALSE),"")</f>
        <v/>
      </c>
      <c r="N278" s="141" t="str">
        <f t="shared" si="9"/>
        <v/>
      </c>
    </row>
    <row r="279" spans="1:14" x14ac:dyDescent="0.25">
      <c r="A279" s="137" t="str">
        <f t="shared" si="8"/>
        <v/>
      </c>
      <c r="B279" s="4"/>
      <c r="C279" s="4"/>
      <c r="D279" s="4"/>
      <c r="E279" s="4"/>
      <c r="F279" s="4"/>
      <c r="G279" s="125"/>
      <c r="H279" s="139" t="str">
        <f ca="1">IFERROR(DATE(YEAR(NOW()),VLOOKUP(I279,'Banco de Dados'!V:W,2,FALSE),VLOOKUP(B279&amp;C279,'Banco de Dados'!$I:$M,5,FALSE)),"")</f>
        <v/>
      </c>
      <c r="I279" s="4"/>
      <c r="J279" s="4"/>
      <c r="K279" s="4"/>
      <c r="L279" s="4"/>
      <c r="M279" s="128" t="str">
        <f>IFERROR(VLOOKUP(B279&amp;C279,'Banco de Dados'!$I:$N,6,FALSE),"")</f>
        <v/>
      </c>
      <c r="N279" s="141" t="str">
        <f t="shared" si="9"/>
        <v/>
      </c>
    </row>
    <row r="280" spans="1:14" x14ac:dyDescent="0.25">
      <c r="A280" s="137" t="str">
        <f t="shared" si="8"/>
        <v/>
      </c>
      <c r="B280" s="4"/>
      <c r="C280" s="4"/>
      <c r="D280" s="4"/>
      <c r="E280" s="4"/>
      <c r="F280" s="4"/>
      <c r="G280" s="125"/>
      <c r="H280" s="139" t="str">
        <f ca="1">IFERROR(DATE(YEAR(NOW()),VLOOKUP(I280,'Banco de Dados'!V:W,2,FALSE),VLOOKUP(B280&amp;C280,'Banco de Dados'!$I:$M,5,FALSE)),"")</f>
        <v/>
      </c>
      <c r="I280" s="4"/>
      <c r="J280" s="4"/>
      <c r="K280" s="4"/>
      <c r="L280" s="4"/>
      <c r="M280" s="128" t="str">
        <f>IFERROR(VLOOKUP(B280&amp;C280,'Banco de Dados'!$I:$N,6,FALSE),"")</f>
        <v/>
      </c>
      <c r="N280" s="141" t="str">
        <f t="shared" si="9"/>
        <v/>
      </c>
    </row>
    <row r="281" spans="1:14" x14ac:dyDescent="0.25">
      <c r="A281" s="137" t="str">
        <f t="shared" si="8"/>
        <v/>
      </c>
      <c r="B281" s="4"/>
      <c r="C281" s="4"/>
      <c r="D281" s="4"/>
      <c r="E281" s="4"/>
      <c r="F281" s="4"/>
      <c r="G281" s="125"/>
      <c r="H281" s="139" t="str">
        <f ca="1">IFERROR(DATE(YEAR(NOW()),VLOOKUP(I281,'Banco de Dados'!V:W,2,FALSE),VLOOKUP(B281&amp;C281,'Banco de Dados'!$I:$M,5,FALSE)),"")</f>
        <v/>
      </c>
      <c r="I281" s="4"/>
      <c r="J281" s="4"/>
      <c r="K281" s="4"/>
      <c r="L281" s="4"/>
      <c r="M281" s="128" t="str">
        <f>IFERROR(VLOOKUP(B281&amp;C281,'Banco de Dados'!$I:$N,6,FALSE),"")</f>
        <v/>
      </c>
      <c r="N281" s="141" t="str">
        <f t="shared" si="9"/>
        <v/>
      </c>
    </row>
    <row r="282" spans="1:14" x14ac:dyDescent="0.25">
      <c r="A282" s="137" t="str">
        <f t="shared" si="8"/>
        <v/>
      </c>
      <c r="B282" s="4"/>
      <c r="C282" s="4"/>
      <c r="D282" s="4"/>
      <c r="E282" s="4"/>
      <c r="F282" s="4"/>
      <c r="G282" s="125"/>
      <c r="H282" s="139" t="str">
        <f ca="1">IFERROR(DATE(YEAR(NOW()),VLOOKUP(I282,'Banco de Dados'!V:W,2,FALSE),VLOOKUP(B282&amp;C282,'Banco de Dados'!$I:$M,5,FALSE)),"")</f>
        <v/>
      </c>
      <c r="I282" s="4"/>
      <c r="J282" s="4"/>
      <c r="K282" s="4"/>
      <c r="L282" s="4"/>
      <c r="M282" s="128" t="str">
        <f>IFERROR(VLOOKUP(B282&amp;C282,'Banco de Dados'!$I:$N,6,FALSE),"")</f>
        <v/>
      </c>
      <c r="N282" s="141" t="str">
        <f t="shared" si="9"/>
        <v/>
      </c>
    </row>
    <row r="283" spans="1:14" x14ac:dyDescent="0.25">
      <c r="A283" s="137" t="str">
        <f t="shared" si="8"/>
        <v/>
      </c>
      <c r="B283" s="4"/>
      <c r="C283" s="4"/>
      <c r="D283" s="4"/>
      <c r="E283" s="4"/>
      <c r="F283" s="4"/>
      <c r="G283" s="125"/>
      <c r="H283" s="139" t="str">
        <f ca="1">IFERROR(DATE(YEAR(NOW()),VLOOKUP(I283,'Banco de Dados'!V:W,2,FALSE),VLOOKUP(B283&amp;C283,'Banco de Dados'!$I:$M,5,FALSE)),"")</f>
        <v/>
      </c>
      <c r="I283" s="4"/>
      <c r="J283" s="4"/>
      <c r="K283" s="4"/>
      <c r="L283" s="4"/>
      <c r="M283" s="128" t="str">
        <f>IFERROR(VLOOKUP(B283&amp;C283,'Banco de Dados'!$I:$N,6,FALSE),"")</f>
        <v/>
      </c>
      <c r="N283" s="141" t="str">
        <f t="shared" si="9"/>
        <v/>
      </c>
    </row>
    <row r="284" spans="1:14" x14ac:dyDescent="0.25">
      <c r="A284" s="137" t="str">
        <f t="shared" si="8"/>
        <v/>
      </c>
      <c r="B284" s="4"/>
      <c r="C284" s="4"/>
      <c r="D284" s="4"/>
      <c r="E284" s="4"/>
      <c r="F284" s="4"/>
      <c r="G284" s="125"/>
      <c r="H284" s="139" t="str">
        <f ca="1">IFERROR(DATE(YEAR(NOW()),VLOOKUP(I284,'Banco de Dados'!V:W,2,FALSE),VLOOKUP(B284&amp;C284,'Banco de Dados'!$I:$M,5,FALSE)),"")</f>
        <v/>
      </c>
      <c r="I284" s="4"/>
      <c r="J284" s="4"/>
      <c r="K284" s="4"/>
      <c r="L284" s="4"/>
      <c r="M284" s="128" t="str">
        <f>IFERROR(VLOOKUP(B284&amp;C284,'Banco de Dados'!$I:$N,6,FALSE),"")</f>
        <v/>
      </c>
      <c r="N284" s="141" t="str">
        <f t="shared" si="9"/>
        <v/>
      </c>
    </row>
    <row r="285" spans="1:14" x14ac:dyDescent="0.25">
      <c r="A285" s="137" t="str">
        <f t="shared" si="8"/>
        <v/>
      </c>
      <c r="B285" s="4"/>
      <c r="C285" s="4"/>
      <c r="D285" s="4"/>
      <c r="E285" s="4"/>
      <c r="F285" s="4"/>
      <c r="G285" s="125"/>
      <c r="H285" s="139" t="str">
        <f ca="1">IFERROR(DATE(YEAR(NOW()),VLOOKUP(I285,'Banco de Dados'!V:W,2,FALSE),VLOOKUP(B285&amp;C285,'Banco de Dados'!$I:$M,5,FALSE)),"")</f>
        <v/>
      </c>
      <c r="I285" s="4"/>
      <c r="J285" s="4"/>
      <c r="K285" s="4"/>
      <c r="L285" s="4"/>
      <c r="M285" s="128" t="str">
        <f>IFERROR(VLOOKUP(B285&amp;C285,'Banco de Dados'!$I:$N,6,FALSE),"")</f>
        <v/>
      </c>
      <c r="N285" s="141" t="str">
        <f t="shared" si="9"/>
        <v/>
      </c>
    </row>
    <row r="286" spans="1:14" x14ac:dyDescent="0.25">
      <c r="A286" s="137" t="str">
        <f t="shared" si="8"/>
        <v/>
      </c>
      <c r="B286" s="4"/>
      <c r="C286" s="4"/>
      <c r="D286" s="4"/>
      <c r="E286" s="4"/>
      <c r="F286" s="4"/>
      <c r="G286" s="125"/>
      <c r="H286" s="139" t="str">
        <f ca="1">IFERROR(DATE(YEAR(NOW()),VLOOKUP(I286,'Banco de Dados'!V:W,2,FALSE),VLOOKUP(B286&amp;C286,'Banco de Dados'!$I:$M,5,FALSE)),"")</f>
        <v/>
      </c>
      <c r="I286" s="4"/>
      <c r="J286" s="4"/>
      <c r="K286" s="4"/>
      <c r="L286" s="4"/>
      <c r="M286" s="128" t="str">
        <f>IFERROR(VLOOKUP(B286&amp;C286,'Banco de Dados'!$I:$N,6,FALSE),"")</f>
        <v/>
      </c>
      <c r="N286" s="141" t="str">
        <f t="shared" si="9"/>
        <v/>
      </c>
    </row>
    <row r="287" spans="1:14" x14ac:dyDescent="0.25">
      <c r="A287" s="137" t="str">
        <f t="shared" si="8"/>
        <v/>
      </c>
      <c r="B287" s="4"/>
      <c r="C287" s="4"/>
      <c r="D287" s="4"/>
      <c r="E287" s="4"/>
      <c r="F287" s="4"/>
      <c r="G287" s="125"/>
      <c r="H287" s="139" t="str">
        <f ca="1">IFERROR(DATE(YEAR(NOW()),VLOOKUP(I287,'Banco de Dados'!V:W,2,FALSE),VLOOKUP(B287&amp;C287,'Banco de Dados'!$I:$M,5,FALSE)),"")</f>
        <v/>
      </c>
      <c r="I287" s="4"/>
      <c r="J287" s="4"/>
      <c r="K287" s="4"/>
      <c r="L287" s="4"/>
      <c r="M287" s="128" t="str">
        <f>IFERROR(VLOOKUP(B287&amp;C287,'Banco de Dados'!$I:$N,6,FALSE),"")</f>
        <v/>
      </c>
      <c r="N287" s="141" t="str">
        <f t="shared" si="9"/>
        <v/>
      </c>
    </row>
    <row r="288" spans="1:14" x14ac:dyDescent="0.25">
      <c r="A288" s="137" t="str">
        <f t="shared" si="8"/>
        <v/>
      </c>
      <c r="B288" s="4"/>
      <c r="C288" s="4"/>
      <c r="D288" s="4"/>
      <c r="E288" s="4"/>
      <c r="F288" s="4"/>
      <c r="G288" s="125"/>
      <c r="H288" s="139" t="str">
        <f ca="1">IFERROR(DATE(YEAR(NOW()),VLOOKUP(I288,'Banco de Dados'!V:W,2,FALSE),VLOOKUP(B288&amp;C288,'Banco de Dados'!$I:$M,5,FALSE)),"")</f>
        <v/>
      </c>
      <c r="I288" s="4"/>
      <c r="J288" s="4"/>
      <c r="K288" s="4"/>
      <c r="L288" s="4"/>
      <c r="M288" s="128" t="str">
        <f>IFERROR(VLOOKUP(B288&amp;C288,'Banco de Dados'!$I:$N,6,FALSE),"")</f>
        <v/>
      </c>
      <c r="N288" s="141" t="str">
        <f t="shared" si="9"/>
        <v/>
      </c>
    </row>
    <row r="289" spans="1:14" x14ac:dyDescent="0.25">
      <c r="A289" s="137" t="str">
        <f t="shared" si="8"/>
        <v/>
      </c>
      <c r="B289" s="4"/>
      <c r="C289" s="4"/>
      <c r="D289" s="4"/>
      <c r="E289" s="4"/>
      <c r="F289" s="4"/>
      <c r="G289" s="125"/>
      <c r="H289" s="139" t="str">
        <f ca="1">IFERROR(DATE(YEAR(NOW()),VLOOKUP(I289,'Banco de Dados'!V:W,2,FALSE),VLOOKUP(B289&amp;C289,'Banco de Dados'!$I:$M,5,FALSE)),"")</f>
        <v/>
      </c>
      <c r="I289" s="4"/>
      <c r="J289" s="4"/>
      <c r="K289" s="4"/>
      <c r="L289" s="4"/>
      <c r="M289" s="128" t="str">
        <f>IFERROR(VLOOKUP(B289&amp;C289,'Banco de Dados'!$I:$N,6,FALSE),"")</f>
        <v/>
      </c>
      <c r="N289" s="141" t="str">
        <f t="shared" si="9"/>
        <v/>
      </c>
    </row>
    <row r="290" spans="1:14" x14ac:dyDescent="0.25">
      <c r="A290" s="137" t="str">
        <f t="shared" si="8"/>
        <v/>
      </c>
      <c r="B290" s="4"/>
      <c r="C290" s="4"/>
      <c r="D290" s="4"/>
      <c r="E290" s="4"/>
      <c r="F290" s="4"/>
      <c r="G290" s="125"/>
      <c r="H290" s="139" t="str">
        <f ca="1">IFERROR(DATE(YEAR(NOW()),VLOOKUP(I290,'Banco de Dados'!V:W,2,FALSE),VLOOKUP(B290&amp;C290,'Banco de Dados'!$I:$M,5,FALSE)),"")</f>
        <v/>
      </c>
      <c r="I290" s="4"/>
      <c r="J290" s="4"/>
      <c r="K290" s="4"/>
      <c r="L290" s="4"/>
      <c r="M290" s="128" t="str">
        <f>IFERROR(VLOOKUP(B290&amp;C290,'Banco de Dados'!$I:$N,6,FALSE),"")</f>
        <v/>
      </c>
      <c r="N290" s="141" t="str">
        <f t="shared" si="9"/>
        <v/>
      </c>
    </row>
    <row r="291" spans="1:14" x14ac:dyDescent="0.25">
      <c r="A291" s="137" t="str">
        <f t="shared" si="8"/>
        <v/>
      </c>
      <c r="B291" s="4"/>
      <c r="C291" s="4"/>
      <c r="D291" s="4"/>
      <c r="E291" s="4"/>
      <c r="F291" s="4"/>
      <c r="G291" s="125"/>
      <c r="H291" s="139" t="str">
        <f ca="1">IFERROR(DATE(YEAR(NOW()),VLOOKUP(I291,'Banco de Dados'!V:W,2,FALSE),VLOOKUP(B291&amp;C291,'Banco de Dados'!$I:$M,5,FALSE)),"")</f>
        <v/>
      </c>
      <c r="I291" s="4"/>
      <c r="J291" s="4"/>
      <c r="K291" s="4"/>
      <c r="L291" s="4"/>
      <c r="M291" s="128" t="str">
        <f>IFERROR(VLOOKUP(B291&amp;C291,'Banco de Dados'!$I:$N,6,FALSE),"")</f>
        <v/>
      </c>
      <c r="N291" s="141" t="str">
        <f t="shared" si="9"/>
        <v/>
      </c>
    </row>
    <row r="292" spans="1:14" x14ac:dyDescent="0.25">
      <c r="A292" s="137" t="str">
        <f t="shared" si="8"/>
        <v/>
      </c>
      <c r="B292" s="4"/>
      <c r="C292" s="4"/>
      <c r="D292" s="4"/>
      <c r="E292" s="4"/>
      <c r="F292" s="4"/>
      <c r="G292" s="125"/>
      <c r="H292" s="139" t="str">
        <f ca="1">IFERROR(DATE(YEAR(NOW()),VLOOKUP(I292,'Banco de Dados'!V:W,2,FALSE),VLOOKUP(B292&amp;C292,'Banco de Dados'!$I:$M,5,FALSE)),"")</f>
        <v/>
      </c>
      <c r="I292" s="4"/>
      <c r="J292" s="4"/>
      <c r="K292" s="4"/>
      <c r="L292" s="4"/>
      <c r="M292" s="128" t="str">
        <f>IFERROR(VLOOKUP(B292&amp;C292,'Banco de Dados'!$I:$N,6,FALSE),"")</f>
        <v/>
      </c>
      <c r="N292" s="141" t="str">
        <f t="shared" si="9"/>
        <v/>
      </c>
    </row>
    <row r="293" spans="1:14" x14ac:dyDescent="0.25">
      <c r="A293" s="137" t="str">
        <f t="shared" si="8"/>
        <v/>
      </c>
      <c r="B293" s="4"/>
      <c r="C293" s="4"/>
      <c r="D293" s="4"/>
      <c r="E293" s="4"/>
      <c r="F293" s="4"/>
      <c r="G293" s="125"/>
      <c r="H293" s="139" t="str">
        <f ca="1">IFERROR(DATE(YEAR(NOW()),VLOOKUP(I293,'Banco de Dados'!V:W,2,FALSE),VLOOKUP(B293&amp;C293,'Banco de Dados'!$I:$M,5,FALSE)),"")</f>
        <v/>
      </c>
      <c r="I293" s="4"/>
      <c r="J293" s="4"/>
      <c r="K293" s="4"/>
      <c r="L293" s="4"/>
      <c r="M293" s="128" t="str">
        <f>IFERROR(VLOOKUP(B293&amp;C293,'Banco de Dados'!$I:$N,6,FALSE),"")</f>
        <v/>
      </c>
      <c r="N293" s="141" t="str">
        <f t="shared" si="9"/>
        <v/>
      </c>
    </row>
    <row r="294" spans="1:14" x14ac:dyDescent="0.25">
      <c r="A294" s="137" t="str">
        <f t="shared" si="8"/>
        <v/>
      </c>
      <c r="B294" s="4"/>
      <c r="C294" s="4"/>
      <c r="D294" s="4"/>
      <c r="E294" s="4"/>
      <c r="F294" s="4"/>
      <c r="G294" s="125"/>
      <c r="H294" s="139" t="str">
        <f ca="1">IFERROR(DATE(YEAR(NOW()),VLOOKUP(I294,'Banco de Dados'!V:W,2,FALSE),VLOOKUP(B294&amp;C294,'Banco de Dados'!$I:$M,5,FALSE)),"")</f>
        <v/>
      </c>
      <c r="I294" s="4"/>
      <c r="J294" s="4"/>
      <c r="K294" s="4"/>
      <c r="L294" s="4"/>
      <c r="M294" s="128" t="str">
        <f>IFERROR(VLOOKUP(B294&amp;C294,'Banco de Dados'!$I:$N,6,FALSE),"")</f>
        <v/>
      </c>
      <c r="N294" s="141" t="str">
        <f t="shared" si="9"/>
        <v/>
      </c>
    </row>
    <row r="295" spans="1:14" x14ac:dyDescent="0.25">
      <c r="A295" s="137" t="str">
        <f t="shared" si="8"/>
        <v/>
      </c>
      <c r="B295" s="4"/>
      <c r="C295" s="4"/>
      <c r="D295" s="4"/>
      <c r="E295" s="4"/>
      <c r="F295" s="4"/>
      <c r="G295" s="125"/>
      <c r="H295" s="139" t="str">
        <f ca="1">IFERROR(DATE(YEAR(NOW()),VLOOKUP(I295,'Banco de Dados'!V:W,2,FALSE),VLOOKUP(B295&amp;C295,'Banco de Dados'!$I:$M,5,FALSE)),"")</f>
        <v/>
      </c>
      <c r="I295" s="4"/>
      <c r="J295" s="4"/>
      <c r="K295" s="4"/>
      <c r="L295" s="4"/>
      <c r="M295" s="128" t="str">
        <f>IFERROR(VLOOKUP(B295&amp;C295,'Banco de Dados'!$I:$N,6,FALSE),"")</f>
        <v/>
      </c>
      <c r="N295" s="141" t="str">
        <f t="shared" si="9"/>
        <v/>
      </c>
    </row>
    <row r="296" spans="1:14" x14ac:dyDescent="0.25">
      <c r="A296" s="137" t="str">
        <f t="shared" si="8"/>
        <v/>
      </c>
      <c r="B296" s="4"/>
      <c r="C296" s="4"/>
      <c r="D296" s="4"/>
      <c r="E296" s="4"/>
      <c r="F296" s="4"/>
      <c r="G296" s="125"/>
      <c r="H296" s="139" t="str">
        <f ca="1">IFERROR(DATE(YEAR(NOW()),VLOOKUP(I296,'Banco de Dados'!V:W,2,FALSE),VLOOKUP(B296&amp;C296,'Banco de Dados'!$I:$M,5,FALSE)),"")</f>
        <v/>
      </c>
      <c r="I296" s="4"/>
      <c r="J296" s="4"/>
      <c r="K296" s="4"/>
      <c r="L296" s="4"/>
      <c r="M296" s="128" t="str">
        <f>IFERROR(VLOOKUP(B296&amp;C296,'Banco de Dados'!$I:$N,6,FALSE),"")</f>
        <v/>
      </c>
      <c r="N296" s="141" t="str">
        <f t="shared" si="9"/>
        <v/>
      </c>
    </row>
    <row r="297" spans="1:14" x14ac:dyDescent="0.25">
      <c r="A297" s="137" t="str">
        <f t="shared" si="8"/>
        <v/>
      </c>
      <c r="B297" s="4"/>
      <c r="C297" s="4"/>
      <c r="D297" s="4"/>
      <c r="E297" s="4"/>
      <c r="F297" s="4"/>
      <c r="G297" s="125"/>
      <c r="H297" s="139" t="str">
        <f ca="1">IFERROR(DATE(YEAR(NOW()),VLOOKUP(I297,'Banco de Dados'!V:W,2,FALSE),VLOOKUP(B297&amp;C297,'Banco de Dados'!$I:$M,5,FALSE)),"")</f>
        <v/>
      </c>
      <c r="I297" s="4"/>
      <c r="J297" s="4"/>
      <c r="K297" s="4"/>
      <c r="L297" s="4"/>
      <c r="M297" s="128" t="str">
        <f>IFERROR(VLOOKUP(B297&amp;C297,'Banco de Dados'!$I:$N,6,FALSE),"")</f>
        <v/>
      </c>
      <c r="N297" s="141" t="str">
        <f t="shared" si="9"/>
        <v/>
      </c>
    </row>
    <row r="298" spans="1:14" x14ac:dyDescent="0.25">
      <c r="A298" s="137" t="str">
        <f t="shared" si="8"/>
        <v/>
      </c>
      <c r="B298" s="4"/>
      <c r="C298" s="4"/>
      <c r="D298" s="4"/>
      <c r="E298" s="4"/>
      <c r="F298" s="4"/>
      <c r="G298" s="125"/>
      <c r="H298" s="139" t="str">
        <f ca="1">IFERROR(DATE(YEAR(NOW()),VLOOKUP(I298,'Banco de Dados'!V:W,2,FALSE),VLOOKUP(B298&amp;C298,'Banco de Dados'!$I:$M,5,FALSE)),"")</f>
        <v/>
      </c>
      <c r="I298" s="4"/>
      <c r="J298" s="4"/>
      <c r="K298" s="4"/>
      <c r="L298" s="4"/>
      <c r="M298" s="128" t="str">
        <f>IFERROR(VLOOKUP(B298&amp;C298,'Banco de Dados'!$I:$N,6,FALSE),"")</f>
        <v/>
      </c>
      <c r="N298" s="141" t="str">
        <f t="shared" si="9"/>
        <v/>
      </c>
    </row>
    <row r="299" spans="1:14" x14ac:dyDescent="0.25">
      <c r="A299" s="137" t="str">
        <f t="shared" si="8"/>
        <v/>
      </c>
      <c r="B299" s="4"/>
      <c r="C299" s="4"/>
      <c r="D299" s="4"/>
      <c r="E299" s="4"/>
      <c r="F299" s="4"/>
      <c r="G299" s="125"/>
      <c r="H299" s="139" t="str">
        <f ca="1">IFERROR(DATE(YEAR(NOW()),VLOOKUP(I299,'Banco de Dados'!V:W,2,FALSE),VLOOKUP(B299&amp;C299,'Banco de Dados'!$I:$M,5,FALSE)),"")</f>
        <v/>
      </c>
      <c r="I299" s="4"/>
      <c r="J299" s="4"/>
      <c r="K299" s="4"/>
      <c r="L299" s="4"/>
      <c r="M299" s="128" t="str">
        <f>IFERROR(VLOOKUP(B299&amp;C299,'Banco de Dados'!$I:$N,6,FALSE),"")</f>
        <v/>
      </c>
      <c r="N299" s="141" t="str">
        <f t="shared" si="9"/>
        <v/>
      </c>
    </row>
    <row r="300" spans="1:14" x14ac:dyDescent="0.25">
      <c r="A300" s="137" t="str">
        <f t="shared" si="8"/>
        <v/>
      </c>
      <c r="B300" s="4"/>
      <c r="C300" s="4"/>
      <c r="D300" s="4"/>
      <c r="E300" s="4"/>
      <c r="F300" s="4"/>
      <c r="G300" s="125"/>
      <c r="H300" s="139" t="str">
        <f ca="1">IFERROR(DATE(YEAR(NOW()),VLOOKUP(I300,'Banco de Dados'!V:W,2,FALSE),VLOOKUP(B300&amp;C300,'Banco de Dados'!$I:$M,5,FALSE)),"")</f>
        <v/>
      </c>
      <c r="I300" s="4"/>
      <c r="J300" s="4"/>
      <c r="K300" s="4"/>
      <c r="L300" s="4"/>
      <c r="M300" s="128" t="str">
        <f>IFERROR(VLOOKUP(B300&amp;C300,'Banco de Dados'!$I:$N,6,FALSE),"")</f>
        <v/>
      </c>
      <c r="N300" s="141" t="str">
        <f t="shared" si="9"/>
        <v/>
      </c>
    </row>
    <row r="301" spans="1:14" x14ac:dyDescent="0.25">
      <c r="A301" s="137" t="str">
        <f t="shared" si="8"/>
        <v/>
      </c>
      <c r="B301" s="4"/>
      <c r="C301" s="4"/>
      <c r="D301" s="4"/>
      <c r="E301" s="4"/>
      <c r="F301" s="4"/>
      <c r="G301" s="125"/>
      <c r="H301" s="139" t="str">
        <f ca="1">IFERROR(DATE(YEAR(NOW()),VLOOKUP(I301,'Banco de Dados'!V:W,2,FALSE),VLOOKUP(B301&amp;C301,'Banco de Dados'!$I:$M,5,FALSE)),"")</f>
        <v/>
      </c>
      <c r="I301" s="4"/>
      <c r="J301" s="4"/>
      <c r="K301" s="4"/>
      <c r="L301" s="4"/>
      <c r="M301" s="128" t="str">
        <f>IFERROR(VLOOKUP(B301&amp;C301,'Banco de Dados'!$I:$N,6,FALSE),"")</f>
        <v/>
      </c>
      <c r="N301" s="141" t="str">
        <f t="shared" si="9"/>
        <v/>
      </c>
    </row>
    <row r="302" spans="1:14" x14ac:dyDescent="0.25">
      <c r="A302" s="137" t="str">
        <f t="shared" si="8"/>
        <v/>
      </c>
      <c r="B302" s="4"/>
      <c r="C302" s="4"/>
      <c r="D302" s="4"/>
      <c r="E302" s="4"/>
      <c r="F302" s="4"/>
      <c r="G302" s="125"/>
      <c r="H302" s="139" t="str">
        <f ca="1">IFERROR(DATE(YEAR(NOW()),VLOOKUP(I302,'Banco de Dados'!V:W,2,FALSE),VLOOKUP(B302&amp;C302,'Banco de Dados'!$I:$M,5,FALSE)),"")</f>
        <v/>
      </c>
      <c r="I302" s="4"/>
      <c r="J302" s="4"/>
      <c r="K302" s="4"/>
      <c r="L302" s="4"/>
      <c r="M302" s="128" t="str">
        <f>IFERROR(VLOOKUP(B302&amp;C302,'Banco de Dados'!$I:$N,6,FALSE),"")</f>
        <v/>
      </c>
      <c r="N302" s="141" t="str">
        <f t="shared" si="9"/>
        <v/>
      </c>
    </row>
    <row r="303" spans="1:14" x14ac:dyDescent="0.25">
      <c r="A303" s="137" t="str">
        <f t="shared" si="8"/>
        <v/>
      </c>
      <c r="B303" s="4"/>
      <c r="C303" s="4"/>
      <c r="D303" s="4"/>
      <c r="E303" s="4"/>
      <c r="F303" s="4"/>
      <c r="G303" s="125"/>
      <c r="H303" s="139" t="str">
        <f ca="1">IFERROR(DATE(YEAR(NOW()),VLOOKUP(I303,'Banco de Dados'!V:W,2,FALSE),VLOOKUP(B303&amp;C303,'Banco de Dados'!$I:$M,5,FALSE)),"")</f>
        <v/>
      </c>
      <c r="I303" s="4"/>
      <c r="J303" s="4"/>
      <c r="K303" s="4"/>
      <c r="L303" s="4"/>
      <c r="M303" s="128" t="str">
        <f>IFERROR(VLOOKUP(B303&amp;C303,'Banco de Dados'!$I:$N,6,FALSE),"")</f>
        <v/>
      </c>
      <c r="N303" s="141" t="str">
        <f t="shared" si="9"/>
        <v/>
      </c>
    </row>
    <row r="304" spans="1:14" x14ac:dyDescent="0.25">
      <c r="A304" s="137" t="str">
        <f t="shared" si="8"/>
        <v/>
      </c>
      <c r="B304" s="4"/>
      <c r="C304" s="4"/>
      <c r="D304" s="4"/>
      <c r="E304" s="4"/>
      <c r="F304" s="4"/>
      <c r="G304" s="125"/>
      <c r="H304" s="139" t="str">
        <f ca="1">IFERROR(DATE(YEAR(NOW()),VLOOKUP(I304,'Banco de Dados'!V:W,2,FALSE),VLOOKUP(B304&amp;C304,'Banco de Dados'!$I:$M,5,FALSE)),"")</f>
        <v/>
      </c>
      <c r="I304" s="4"/>
      <c r="J304" s="4"/>
      <c r="K304" s="4"/>
      <c r="L304" s="4"/>
      <c r="M304" s="128" t="str">
        <f>IFERROR(VLOOKUP(B304&amp;C304,'Banco de Dados'!$I:$N,6,FALSE),"")</f>
        <v/>
      </c>
      <c r="N304" s="141" t="str">
        <f t="shared" si="9"/>
        <v/>
      </c>
    </row>
    <row r="305" spans="1:14" x14ac:dyDescent="0.25">
      <c r="A305" s="137" t="str">
        <f t="shared" si="8"/>
        <v/>
      </c>
      <c r="B305" s="4"/>
      <c r="C305" s="4"/>
      <c r="D305" s="4"/>
      <c r="E305" s="4"/>
      <c r="F305" s="4"/>
      <c r="G305" s="125"/>
      <c r="H305" s="139" t="str">
        <f ca="1">IFERROR(DATE(YEAR(NOW()),VLOOKUP(I305,'Banco de Dados'!V:W,2,FALSE),VLOOKUP(B305&amp;C305,'Banco de Dados'!$I:$M,5,FALSE)),"")</f>
        <v/>
      </c>
      <c r="I305" s="4"/>
      <c r="J305" s="4"/>
      <c r="K305" s="4"/>
      <c r="L305" s="4"/>
      <c r="M305" s="128" t="str">
        <f>IFERROR(VLOOKUP(B305&amp;C305,'Banco de Dados'!$I:$N,6,FALSE),"")</f>
        <v/>
      </c>
      <c r="N305" s="141" t="str">
        <f t="shared" si="9"/>
        <v/>
      </c>
    </row>
    <row r="306" spans="1:14" x14ac:dyDescent="0.25">
      <c r="A306" s="137" t="str">
        <f t="shared" si="8"/>
        <v/>
      </c>
      <c r="B306" s="4"/>
      <c r="C306" s="4"/>
      <c r="D306" s="4"/>
      <c r="E306" s="4"/>
      <c r="F306" s="4"/>
      <c r="G306" s="125"/>
      <c r="H306" s="139" t="str">
        <f ca="1">IFERROR(DATE(YEAR(NOW()),VLOOKUP(I306,'Banco de Dados'!V:W,2,FALSE),VLOOKUP(B306&amp;C306,'Banco de Dados'!$I:$M,5,FALSE)),"")</f>
        <v/>
      </c>
      <c r="I306" s="4"/>
      <c r="J306" s="4"/>
      <c r="K306" s="4"/>
      <c r="L306" s="4"/>
      <c r="M306" s="128" t="str">
        <f>IFERROR(VLOOKUP(B306&amp;C306,'Banco de Dados'!$I:$N,6,FALSE),"")</f>
        <v/>
      </c>
      <c r="N306" s="141" t="str">
        <f t="shared" si="9"/>
        <v/>
      </c>
    </row>
    <row r="307" spans="1:14" x14ac:dyDescent="0.25">
      <c r="A307" s="4"/>
      <c r="B307" s="4"/>
      <c r="C307" s="4"/>
      <c r="D307" s="4"/>
      <c r="E307" s="4"/>
      <c r="F307" s="4"/>
      <c r="G307" s="125"/>
      <c r="H307" s="139" t="str">
        <f>IFERROR(VLOOKUP(B307&amp;C307,'Banco de Dados'!$I:$M,5,FALSE),"")</f>
        <v/>
      </c>
      <c r="I307" s="4"/>
      <c r="J307" s="4"/>
      <c r="K307" s="4"/>
      <c r="L307" s="4"/>
      <c r="M307" s="128" t="str">
        <f>IFERROR(VLOOKUP(B307&amp;C307,'Banco de Dados'!$I:$N,6,FALSE),"")</f>
        <v/>
      </c>
      <c r="N307" s="124"/>
    </row>
    <row r="308" spans="1:14" x14ac:dyDescent="0.25">
      <c r="A308" s="4"/>
      <c r="B308" s="4"/>
      <c r="C308" s="4"/>
      <c r="D308" s="4"/>
      <c r="E308" s="4"/>
      <c r="F308" s="4"/>
      <c r="G308" s="125"/>
      <c r="H308" s="139" t="str">
        <f>IFERROR(VLOOKUP(B308&amp;C308,'Banco de Dados'!$I:$M,5,FALSE),"")</f>
        <v/>
      </c>
      <c r="I308" s="4"/>
      <c r="J308" s="4"/>
      <c r="K308" s="4"/>
      <c r="L308" s="4"/>
      <c r="M308" s="128" t="str">
        <f>IFERROR(VLOOKUP(B308&amp;C308,'Banco de Dados'!$I:$N,6,FALSE),"")</f>
        <v/>
      </c>
      <c r="N308" s="124"/>
    </row>
    <row r="309" spans="1:14" x14ac:dyDescent="0.25">
      <c r="A309" s="4"/>
      <c r="B309" s="4"/>
      <c r="C309" s="4"/>
      <c r="D309" s="4"/>
      <c r="E309" s="4"/>
      <c r="F309" s="4"/>
      <c r="G309" s="125"/>
      <c r="H309" s="120"/>
      <c r="I309" s="4"/>
      <c r="J309" s="4"/>
      <c r="K309" s="4"/>
      <c r="L309" s="4"/>
      <c r="M309" s="125"/>
      <c r="N309" s="124"/>
    </row>
    <row r="310" spans="1:14" x14ac:dyDescent="0.25">
      <c r="A310" s="4"/>
      <c r="B310" s="4"/>
      <c r="C310" s="4"/>
      <c r="D310" s="4"/>
      <c r="E310" s="4"/>
      <c r="F310" s="4"/>
      <c r="G310" s="125"/>
      <c r="H310" s="120"/>
      <c r="I310" s="4"/>
      <c r="J310" s="4"/>
      <c r="K310" s="4"/>
      <c r="L310" s="4"/>
      <c r="M310" s="125"/>
      <c r="N310" s="124"/>
    </row>
    <row r="311" spans="1:14" x14ac:dyDescent="0.25">
      <c r="A311" s="4"/>
      <c r="B311" s="4"/>
      <c r="C311" s="4"/>
      <c r="D311" s="4"/>
      <c r="E311" s="4"/>
      <c r="F311" s="4"/>
      <c r="G311" s="125"/>
      <c r="H311" s="120"/>
      <c r="I311" s="4"/>
      <c r="J311" s="4"/>
      <c r="K311" s="4"/>
      <c r="L311" s="4"/>
      <c r="M311" s="125"/>
      <c r="N311" s="124"/>
    </row>
    <row r="312" spans="1:14" x14ac:dyDescent="0.25">
      <c r="A312" s="4"/>
      <c r="B312" s="4"/>
      <c r="C312" s="4"/>
      <c r="D312" s="4"/>
      <c r="E312" s="4"/>
      <c r="F312" s="4"/>
      <c r="G312" s="125"/>
      <c r="H312" s="120"/>
      <c r="I312" s="4"/>
      <c r="J312" s="4"/>
      <c r="K312" s="4"/>
      <c r="L312" s="4"/>
      <c r="M312" s="125"/>
      <c r="N312" s="124"/>
    </row>
    <row r="313" spans="1:14" x14ac:dyDescent="0.25">
      <c r="A313" s="4"/>
      <c r="B313" s="4"/>
      <c r="C313" s="4"/>
      <c r="D313" s="4"/>
      <c r="E313" s="4"/>
      <c r="F313" s="4"/>
      <c r="G313" s="125"/>
      <c r="H313" s="120"/>
      <c r="I313" s="4"/>
      <c r="J313" s="4"/>
      <c r="K313" s="4"/>
      <c r="L313" s="4"/>
      <c r="M313" s="125"/>
      <c r="N313" s="124"/>
    </row>
    <row r="314" spans="1:14" x14ac:dyDescent="0.25">
      <c r="A314" s="4"/>
      <c r="B314" s="4"/>
      <c r="C314" s="4"/>
      <c r="D314" s="4"/>
      <c r="E314" s="4"/>
      <c r="F314" s="4"/>
      <c r="G314" s="125"/>
      <c r="H314" s="120"/>
      <c r="I314" s="4"/>
      <c r="J314" s="4"/>
      <c r="K314" s="4"/>
      <c r="L314" s="4"/>
      <c r="M314" s="125"/>
      <c r="N314" s="124"/>
    </row>
    <row r="315" spans="1:14" x14ac:dyDescent="0.25">
      <c r="A315" s="4"/>
      <c r="B315" s="4"/>
      <c r="C315" s="4"/>
      <c r="D315" s="4"/>
      <c r="E315" s="4"/>
      <c r="F315" s="4"/>
      <c r="G315" s="125"/>
      <c r="H315" s="120"/>
      <c r="I315" s="4"/>
      <c r="J315" s="4"/>
      <c r="K315" s="4"/>
      <c r="L315" s="4"/>
      <c r="M315" s="125"/>
      <c r="N315" s="124"/>
    </row>
    <row r="316" spans="1:14" x14ac:dyDescent="0.25">
      <c r="A316" s="4"/>
      <c r="B316" s="4"/>
      <c r="C316" s="4"/>
      <c r="D316" s="4"/>
      <c r="E316" s="4"/>
      <c r="F316" s="4"/>
      <c r="G316" s="125"/>
      <c r="H316" s="120"/>
      <c r="I316" s="4"/>
      <c r="J316" s="4"/>
      <c r="K316" s="4"/>
      <c r="L316" s="4"/>
      <c r="M316" s="125"/>
      <c r="N316" s="124"/>
    </row>
    <row r="317" spans="1:14" x14ac:dyDescent="0.25">
      <c r="A317" s="4"/>
      <c r="B317" s="4"/>
      <c r="C317" s="4"/>
      <c r="D317" s="4"/>
      <c r="E317" s="4"/>
      <c r="F317" s="4"/>
      <c r="G317" s="125"/>
      <c r="H317" s="120"/>
      <c r="I317" s="4"/>
      <c r="J317" s="4"/>
      <c r="K317" s="4"/>
      <c r="L317" s="4"/>
      <c r="M317" s="125"/>
      <c r="N317" s="124"/>
    </row>
    <row r="318" spans="1:14" x14ac:dyDescent="0.25">
      <c r="A318" s="4"/>
      <c r="B318" s="4"/>
      <c r="C318" s="4"/>
      <c r="D318" s="4"/>
      <c r="E318" s="4"/>
      <c r="F318" s="4"/>
      <c r="G318" s="125"/>
      <c r="H318" s="120"/>
      <c r="I318" s="4"/>
      <c r="J318" s="4"/>
      <c r="K318" s="4"/>
      <c r="L318" s="4"/>
      <c r="M318" s="125"/>
      <c r="N318" s="124"/>
    </row>
    <row r="319" spans="1:14" x14ac:dyDescent="0.25">
      <c r="A319" s="4"/>
      <c r="B319" s="4"/>
      <c r="C319" s="4"/>
      <c r="D319" s="4"/>
      <c r="E319" s="4"/>
      <c r="F319" s="4"/>
      <c r="G319" s="125"/>
      <c r="H319" s="120"/>
      <c r="I319" s="4"/>
      <c r="J319" s="4"/>
      <c r="K319" s="4"/>
      <c r="L319" s="4"/>
      <c r="M319" s="125"/>
      <c r="N319" s="124"/>
    </row>
    <row r="320" spans="1:14" x14ac:dyDescent="0.25">
      <c r="A320" s="4"/>
      <c r="B320" s="4"/>
      <c r="C320" s="4"/>
      <c r="D320" s="4"/>
      <c r="E320" s="4"/>
      <c r="F320" s="4"/>
      <c r="G320" s="125"/>
      <c r="H320" s="120"/>
      <c r="I320" s="4"/>
      <c r="J320" s="4"/>
      <c r="K320" s="4"/>
      <c r="L320" s="4"/>
      <c r="M320" s="125"/>
      <c r="N320" s="124"/>
    </row>
    <row r="321" spans="1:14" x14ac:dyDescent="0.25">
      <c r="A321" s="4"/>
      <c r="B321" s="4"/>
      <c r="C321" s="4"/>
      <c r="D321" s="4"/>
      <c r="E321" s="4"/>
      <c r="F321" s="4"/>
      <c r="G321" s="125"/>
      <c r="H321" s="120"/>
      <c r="I321" s="4"/>
      <c r="J321" s="4"/>
      <c r="K321" s="4"/>
      <c r="L321" s="4"/>
      <c r="M321" s="125"/>
      <c r="N321" s="124"/>
    </row>
    <row r="322" spans="1:14" x14ac:dyDescent="0.25">
      <c r="A322" s="4"/>
      <c r="B322" s="4"/>
      <c r="C322" s="4"/>
      <c r="D322" s="4"/>
      <c r="E322" s="4"/>
      <c r="F322" s="4"/>
      <c r="G322" s="125"/>
      <c r="H322" s="120"/>
      <c r="I322" s="4"/>
      <c r="J322" s="4"/>
      <c r="K322" s="4"/>
      <c r="L322" s="4"/>
      <c r="M322" s="125"/>
      <c r="N322" s="124"/>
    </row>
    <row r="323" spans="1:14" x14ac:dyDescent="0.25">
      <c r="A323" s="4"/>
      <c r="B323" s="4"/>
      <c r="C323" s="4"/>
      <c r="D323" s="4"/>
      <c r="E323" s="4"/>
      <c r="F323" s="4"/>
      <c r="G323" s="125"/>
      <c r="H323" s="120"/>
      <c r="I323" s="4"/>
      <c r="J323" s="4"/>
      <c r="K323" s="4"/>
      <c r="L323" s="4"/>
      <c r="M323" s="125"/>
      <c r="N323" s="124"/>
    </row>
    <row r="324" spans="1:14" x14ac:dyDescent="0.25">
      <c r="A324" s="4"/>
      <c r="B324" s="4"/>
      <c r="C324" s="4"/>
      <c r="D324" s="4"/>
      <c r="E324" s="4"/>
      <c r="F324" s="4"/>
      <c r="G324" s="125"/>
      <c r="H324" s="120"/>
      <c r="I324" s="4"/>
      <c r="J324" s="4"/>
      <c r="K324" s="4"/>
      <c r="L324" s="4"/>
      <c r="M324" s="125"/>
      <c r="N324" s="124"/>
    </row>
    <row r="325" spans="1:14" x14ac:dyDescent="0.25">
      <c r="A325" s="4"/>
      <c r="B325" s="4"/>
      <c r="C325" s="4"/>
      <c r="D325" s="4"/>
      <c r="E325" s="4"/>
      <c r="F325" s="4"/>
      <c r="G325" s="125"/>
      <c r="H325" s="120"/>
      <c r="I325" s="4"/>
      <c r="J325" s="4"/>
      <c r="K325" s="4"/>
      <c r="L325" s="4"/>
      <c r="M325" s="125"/>
      <c r="N325" s="124"/>
    </row>
    <row r="326" spans="1:14" x14ac:dyDescent="0.25">
      <c r="A326" s="4"/>
      <c r="B326" s="4"/>
      <c r="C326" s="4"/>
      <c r="D326" s="4"/>
      <c r="E326" s="4"/>
      <c r="F326" s="4"/>
      <c r="G326" s="125"/>
      <c r="H326" s="120"/>
      <c r="I326" s="4"/>
      <c r="J326" s="4"/>
      <c r="K326" s="4"/>
      <c r="L326" s="4"/>
      <c r="M326" s="125"/>
      <c r="N326" s="124"/>
    </row>
    <row r="327" spans="1:14" x14ac:dyDescent="0.25">
      <c r="A327" s="4"/>
      <c r="B327" s="4"/>
      <c r="C327" s="4"/>
      <c r="D327" s="4"/>
      <c r="E327" s="4"/>
      <c r="F327" s="4"/>
      <c r="G327" s="125"/>
      <c r="H327" s="120"/>
      <c r="I327" s="4"/>
      <c r="J327" s="4"/>
      <c r="K327" s="4"/>
      <c r="L327" s="4"/>
      <c r="M327" s="125"/>
      <c r="N327" s="124"/>
    </row>
    <row r="328" spans="1:14" x14ac:dyDescent="0.25">
      <c r="A328" s="4"/>
      <c r="B328" s="4"/>
      <c r="C328" s="4"/>
      <c r="D328" s="4"/>
      <c r="E328" s="4"/>
      <c r="F328" s="4"/>
      <c r="G328" s="125"/>
      <c r="H328" s="120"/>
      <c r="I328" s="4"/>
      <c r="J328" s="4"/>
      <c r="K328" s="4"/>
      <c r="L328" s="4"/>
      <c r="M328" s="125"/>
      <c r="N328" s="124"/>
    </row>
    <row r="329" spans="1:14" x14ac:dyDescent="0.25">
      <c r="A329" s="4"/>
      <c r="B329" s="4"/>
      <c r="C329" s="4"/>
      <c r="D329" s="4"/>
      <c r="E329" s="4"/>
      <c r="F329" s="4"/>
      <c r="G329" s="125"/>
      <c r="H329" s="120"/>
      <c r="I329" s="4"/>
      <c r="J329" s="4"/>
      <c r="K329" s="4"/>
      <c r="L329" s="4"/>
      <c r="M329" s="125"/>
      <c r="N329" s="124"/>
    </row>
    <row r="330" spans="1:14" x14ac:dyDescent="0.25">
      <c r="A330" s="4"/>
      <c r="B330" s="4"/>
      <c r="C330" s="4"/>
      <c r="D330" s="4"/>
      <c r="E330" s="4"/>
      <c r="F330" s="4"/>
      <c r="G330" s="125"/>
      <c r="H330" s="120"/>
      <c r="I330" s="4"/>
      <c r="J330" s="4"/>
      <c r="K330" s="4"/>
      <c r="L330" s="4"/>
      <c r="M330" s="125"/>
      <c r="N330" s="124"/>
    </row>
    <row r="331" spans="1:14" x14ac:dyDescent="0.25">
      <c r="A331" s="4"/>
      <c r="B331" s="4"/>
      <c r="C331" s="4"/>
      <c r="D331" s="4"/>
      <c r="E331" s="4"/>
      <c r="F331" s="4"/>
      <c r="G331" s="125"/>
      <c r="H331" s="120"/>
      <c r="I331" s="4"/>
      <c r="J331" s="4"/>
      <c r="K331" s="4"/>
      <c r="L331" s="4"/>
      <c r="M331" s="125"/>
      <c r="N331" s="124"/>
    </row>
    <row r="332" spans="1:14" x14ac:dyDescent="0.25">
      <c r="A332" s="4"/>
      <c r="B332" s="4"/>
      <c r="C332" s="4"/>
      <c r="D332" s="4"/>
      <c r="E332" s="4"/>
      <c r="F332" s="4"/>
      <c r="G332" s="125"/>
      <c r="H332" s="120"/>
      <c r="I332" s="4"/>
      <c r="J332" s="4"/>
      <c r="K332" s="4"/>
      <c r="L332" s="4"/>
      <c r="M332" s="125"/>
      <c r="N332" s="124"/>
    </row>
    <row r="333" spans="1:14" x14ac:dyDescent="0.25">
      <c r="A333" s="4"/>
      <c r="B333" s="4"/>
      <c r="C333" s="4"/>
      <c r="D333" s="4"/>
      <c r="E333" s="4"/>
      <c r="F333" s="4"/>
      <c r="G333" s="125"/>
      <c r="H333" s="120"/>
      <c r="I333" s="4"/>
      <c r="J333" s="4"/>
      <c r="K333" s="4"/>
      <c r="L333" s="4"/>
      <c r="M333" s="125"/>
      <c r="N333" s="124"/>
    </row>
    <row r="334" spans="1:14" x14ac:dyDescent="0.25">
      <c r="A334" s="4"/>
      <c r="B334" s="4"/>
      <c r="C334" s="4"/>
      <c r="D334" s="4"/>
      <c r="E334" s="4"/>
      <c r="F334" s="4"/>
      <c r="G334" s="125"/>
      <c r="H334" s="120"/>
      <c r="I334" s="4"/>
      <c r="J334" s="4"/>
      <c r="K334" s="4"/>
      <c r="L334" s="4"/>
      <c r="M334" s="125"/>
      <c r="N334" s="124"/>
    </row>
    <row r="335" spans="1:14" x14ac:dyDescent="0.25">
      <c r="A335" s="4"/>
      <c r="B335" s="4"/>
      <c r="C335" s="4"/>
      <c r="D335" s="4"/>
      <c r="E335" s="4"/>
      <c r="F335" s="4"/>
      <c r="G335" s="125"/>
      <c r="H335" s="120"/>
      <c r="I335" s="4"/>
      <c r="J335" s="4"/>
      <c r="K335" s="4"/>
      <c r="L335" s="4"/>
      <c r="M335" s="125"/>
      <c r="N335" s="124"/>
    </row>
    <row r="336" spans="1:14" x14ac:dyDescent="0.25">
      <c r="A336" s="4"/>
      <c r="B336" s="4"/>
      <c r="C336" s="4"/>
      <c r="D336" s="4"/>
      <c r="E336" s="4"/>
      <c r="F336" s="4"/>
      <c r="G336" s="125"/>
      <c r="H336" s="120"/>
      <c r="I336" s="4"/>
      <c r="J336" s="4"/>
      <c r="K336" s="4"/>
      <c r="L336" s="4"/>
      <c r="M336" s="125"/>
      <c r="N336" s="124"/>
    </row>
    <row r="337" spans="1:14" x14ac:dyDescent="0.25">
      <c r="A337" s="4"/>
      <c r="B337" s="4"/>
      <c r="C337" s="4"/>
      <c r="D337" s="4"/>
      <c r="E337" s="4"/>
      <c r="F337" s="4"/>
      <c r="G337" s="125"/>
      <c r="H337" s="120"/>
      <c r="I337" s="4"/>
      <c r="J337" s="4"/>
      <c r="K337" s="4"/>
      <c r="L337" s="4"/>
      <c r="M337" s="125"/>
      <c r="N337" s="124"/>
    </row>
    <row r="338" spans="1:14" x14ac:dyDescent="0.25">
      <c r="A338" s="4"/>
      <c r="B338" s="4"/>
      <c r="C338" s="4"/>
      <c r="D338" s="4"/>
      <c r="E338" s="4"/>
      <c r="F338" s="4"/>
      <c r="G338" s="125"/>
      <c r="H338" s="120"/>
      <c r="I338" s="4"/>
      <c r="J338" s="4"/>
      <c r="K338" s="4"/>
      <c r="L338" s="4"/>
      <c r="M338" s="125"/>
      <c r="N338" s="124"/>
    </row>
    <row r="339" spans="1:14" x14ac:dyDescent="0.25">
      <c r="A339" s="4"/>
      <c r="B339" s="4"/>
      <c r="C339" s="4"/>
      <c r="D339" s="4"/>
      <c r="E339" s="4"/>
      <c r="F339" s="4"/>
      <c r="G339" s="125"/>
      <c r="H339" s="120"/>
      <c r="I339" s="4"/>
      <c r="J339" s="4"/>
      <c r="K339" s="4"/>
      <c r="L339" s="4"/>
      <c r="M339" s="125"/>
      <c r="N339" s="124"/>
    </row>
    <row r="340" spans="1:14" x14ac:dyDescent="0.25">
      <c r="A340" s="4"/>
      <c r="B340" s="4"/>
      <c r="C340" s="4"/>
      <c r="D340" s="4"/>
      <c r="E340" s="4"/>
      <c r="F340" s="4"/>
      <c r="G340" s="125"/>
      <c r="H340" s="120"/>
      <c r="I340" s="4"/>
      <c r="J340" s="4"/>
      <c r="K340" s="4"/>
      <c r="L340" s="4"/>
      <c r="M340" s="125"/>
      <c r="N340" s="124"/>
    </row>
    <row r="341" spans="1:14" x14ac:dyDescent="0.25">
      <c r="A341" s="4"/>
      <c r="B341" s="4"/>
      <c r="C341" s="4"/>
      <c r="D341" s="4"/>
      <c r="E341" s="4"/>
      <c r="F341" s="4"/>
      <c r="G341" s="125"/>
      <c r="H341" s="120"/>
      <c r="I341" s="4"/>
      <c r="J341" s="4"/>
      <c r="K341" s="4"/>
      <c r="L341" s="4"/>
      <c r="M341" s="125"/>
      <c r="N341" s="124"/>
    </row>
    <row r="342" spans="1:14" x14ac:dyDescent="0.25">
      <c r="A342" s="4"/>
      <c r="B342" s="4"/>
      <c r="C342" s="4"/>
      <c r="D342" s="4"/>
      <c r="E342" s="4"/>
      <c r="F342" s="4"/>
      <c r="G342" s="125"/>
      <c r="H342" s="120"/>
      <c r="I342" s="4"/>
      <c r="J342" s="4"/>
      <c r="K342" s="4"/>
      <c r="L342" s="4"/>
      <c r="M342" s="125"/>
      <c r="N342" s="124"/>
    </row>
    <row r="343" spans="1:14" x14ac:dyDescent="0.25">
      <c r="A343" s="4"/>
      <c r="B343" s="4"/>
      <c r="C343" s="4"/>
      <c r="D343" s="4"/>
      <c r="E343" s="4"/>
      <c r="F343" s="4"/>
      <c r="G343" s="125"/>
      <c r="H343" s="120"/>
      <c r="I343" s="4"/>
      <c r="J343" s="4"/>
      <c r="K343" s="4"/>
      <c r="L343" s="4"/>
      <c r="M343" s="125"/>
      <c r="N343" s="124"/>
    </row>
    <row r="344" spans="1:14" x14ac:dyDescent="0.25">
      <c r="A344" s="4"/>
      <c r="B344" s="4"/>
      <c r="C344" s="4"/>
      <c r="D344" s="4"/>
      <c r="E344" s="4"/>
      <c r="F344" s="4"/>
      <c r="G344" s="125"/>
      <c r="H344" s="120"/>
      <c r="I344" s="4"/>
      <c r="J344" s="4"/>
      <c r="K344" s="4"/>
      <c r="L344" s="4"/>
      <c r="M344" s="125"/>
      <c r="N344" s="124"/>
    </row>
    <row r="345" spans="1:14" x14ac:dyDescent="0.25">
      <c r="A345" s="4"/>
      <c r="B345" s="4"/>
      <c r="C345" s="4"/>
      <c r="D345" s="4"/>
      <c r="E345" s="4"/>
      <c r="F345" s="4"/>
      <c r="G345" s="125"/>
      <c r="H345" s="120"/>
      <c r="I345" s="4"/>
      <c r="J345" s="4"/>
      <c r="K345" s="4"/>
      <c r="L345" s="4"/>
      <c r="M345" s="125"/>
      <c r="N345" s="124"/>
    </row>
    <row r="346" spans="1:14" x14ac:dyDescent="0.25">
      <c r="A346" s="4"/>
      <c r="B346" s="4"/>
      <c r="C346" s="4"/>
      <c r="D346" s="4"/>
      <c r="E346" s="4"/>
      <c r="F346" s="4"/>
      <c r="G346" s="125"/>
      <c r="H346" s="120"/>
      <c r="I346" s="4"/>
      <c r="J346" s="4"/>
      <c r="K346" s="4"/>
      <c r="L346" s="4"/>
      <c r="M346" s="125"/>
      <c r="N346" s="124"/>
    </row>
    <row r="347" spans="1:14" x14ac:dyDescent="0.25">
      <c r="A347" s="4"/>
      <c r="B347" s="4"/>
      <c r="C347" s="4"/>
      <c r="D347" s="4"/>
      <c r="E347" s="4"/>
      <c r="F347" s="4"/>
      <c r="G347" s="125"/>
      <c r="H347" s="120"/>
      <c r="I347" s="4"/>
      <c r="J347" s="4"/>
      <c r="K347" s="4"/>
      <c r="L347" s="4"/>
      <c r="M347" s="125"/>
      <c r="N347" s="124"/>
    </row>
    <row r="348" spans="1:14" x14ac:dyDescent="0.25">
      <c r="A348" s="4"/>
      <c r="B348" s="4"/>
      <c r="C348" s="4"/>
      <c r="D348" s="4"/>
      <c r="E348" s="4"/>
      <c r="F348" s="4"/>
      <c r="G348" s="125"/>
      <c r="H348" s="120"/>
      <c r="I348" s="4"/>
      <c r="J348" s="4"/>
      <c r="K348" s="4"/>
      <c r="L348" s="4"/>
      <c r="M348" s="125"/>
      <c r="N348" s="124"/>
    </row>
    <row r="349" spans="1:14" x14ac:dyDescent="0.25">
      <c r="A349" s="4"/>
      <c r="B349" s="4"/>
      <c r="C349" s="4"/>
      <c r="D349" s="4"/>
      <c r="E349" s="4"/>
      <c r="F349" s="4"/>
      <c r="G349" s="125"/>
      <c r="H349" s="120"/>
      <c r="I349" s="4"/>
      <c r="J349" s="4"/>
      <c r="K349" s="4"/>
      <c r="L349" s="4"/>
      <c r="M349" s="125"/>
      <c r="N349" s="124"/>
    </row>
    <row r="350" spans="1:14" x14ac:dyDescent="0.25">
      <c r="A350" s="4"/>
      <c r="B350" s="4"/>
      <c r="C350" s="4"/>
      <c r="D350" s="4"/>
      <c r="E350" s="4"/>
      <c r="F350" s="4"/>
      <c r="G350" s="125"/>
      <c r="H350" s="120"/>
      <c r="I350" s="4"/>
      <c r="J350" s="4"/>
      <c r="K350" s="4"/>
      <c r="L350" s="4"/>
      <c r="M350" s="125"/>
      <c r="N350" s="124"/>
    </row>
    <row r="351" spans="1:14" x14ac:dyDescent="0.25">
      <c r="A351" s="4"/>
      <c r="B351" s="4"/>
      <c r="C351" s="4"/>
      <c r="D351" s="4"/>
      <c r="E351" s="4"/>
      <c r="F351" s="4"/>
      <c r="G351" s="125"/>
      <c r="H351" s="120"/>
      <c r="I351" s="4"/>
      <c r="J351" s="4"/>
      <c r="K351" s="4"/>
      <c r="L351" s="4"/>
      <c r="M351" s="125"/>
      <c r="N351" s="124"/>
    </row>
    <row r="352" spans="1:14" x14ac:dyDescent="0.25">
      <c r="A352" s="4"/>
      <c r="B352" s="4"/>
      <c r="C352" s="4"/>
      <c r="D352" s="4"/>
      <c r="E352" s="4"/>
      <c r="F352" s="4"/>
      <c r="G352" s="125"/>
      <c r="H352" s="120"/>
      <c r="I352" s="4"/>
      <c r="J352" s="4"/>
      <c r="K352" s="4"/>
      <c r="L352" s="4"/>
      <c r="M352" s="125"/>
      <c r="N352" s="124"/>
    </row>
    <row r="353" spans="1:14" x14ac:dyDescent="0.25">
      <c r="A353" s="4"/>
      <c r="B353" s="4"/>
      <c r="C353" s="4"/>
      <c r="D353" s="4"/>
      <c r="E353" s="4"/>
      <c r="F353" s="4"/>
      <c r="G353" s="125"/>
      <c r="H353" s="120"/>
      <c r="I353" s="4"/>
      <c r="J353" s="4"/>
      <c r="K353" s="4"/>
      <c r="L353" s="4"/>
      <c r="M353" s="125"/>
      <c r="N353" s="124"/>
    </row>
    <row r="354" spans="1:14" x14ac:dyDescent="0.25">
      <c r="A354" s="4"/>
      <c r="B354" s="4"/>
      <c r="C354" s="4"/>
      <c r="D354" s="4"/>
      <c r="E354" s="4"/>
      <c r="F354" s="4"/>
      <c r="G354" s="125"/>
      <c r="H354" s="120"/>
      <c r="I354" s="4"/>
      <c r="J354" s="4"/>
      <c r="K354" s="4"/>
      <c r="L354" s="4"/>
      <c r="M354" s="125"/>
      <c r="N354" s="124"/>
    </row>
    <row r="355" spans="1:14" x14ac:dyDescent="0.25">
      <c r="A355" s="4"/>
      <c r="B355" s="4"/>
      <c r="C355" s="4"/>
      <c r="D355" s="4"/>
      <c r="E355" s="4"/>
      <c r="F355" s="4"/>
      <c r="G355" s="125"/>
      <c r="H355" s="120"/>
      <c r="I355" s="4"/>
      <c r="J355" s="4"/>
      <c r="K355" s="4"/>
      <c r="L355" s="4"/>
      <c r="M355" s="125"/>
      <c r="N355" s="124"/>
    </row>
    <row r="356" spans="1:14" x14ac:dyDescent="0.25">
      <c r="A356" s="4"/>
      <c r="B356" s="4"/>
      <c r="C356" s="4"/>
      <c r="D356" s="4"/>
      <c r="E356" s="4"/>
      <c r="F356" s="4"/>
      <c r="G356" s="125"/>
      <c r="H356" s="120"/>
      <c r="I356" s="4"/>
      <c r="J356" s="4"/>
      <c r="K356" s="4"/>
      <c r="L356" s="4"/>
      <c r="M356" s="125"/>
      <c r="N356" s="124"/>
    </row>
    <row r="357" spans="1:14" x14ac:dyDescent="0.25">
      <c r="A357" s="4"/>
      <c r="B357" s="4"/>
      <c r="C357" s="4"/>
      <c r="D357" s="4"/>
      <c r="E357" s="4"/>
      <c r="F357" s="4"/>
      <c r="G357" s="125"/>
      <c r="H357" s="120"/>
      <c r="I357" s="4"/>
      <c r="J357" s="4"/>
      <c r="K357" s="4"/>
      <c r="L357" s="4"/>
      <c r="M357" s="125"/>
      <c r="N357" s="124"/>
    </row>
    <row r="358" spans="1:14" x14ac:dyDescent="0.25">
      <c r="A358" s="4"/>
      <c r="B358" s="4"/>
      <c r="C358" s="4"/>
      <c r="D358" s="4"/>
      <c r="E358" s="4"/>
      <c r="F358" s="4"/>
      <c r="G358" s="125"/>
      <c r="H358" s="120"/>
      <c r="I358" s="4"/>
      <c r="J358" s="4"/>
      <c r="K358" s="4"/>
      <c r="L358" s="4"/>
      <c r="M358" s="125"/>
      <c r="N358" s="124"/>
    </row>
    <row r="359" spans="1:14" x14ac:dyDescent="0.25">
      <c r="A359" s="4"/>
      <c r="B359" s="4"/>
      <c r="C359" s="4"/>
      <c r="D359" s="4"/>
      <c r="E359" s="4"/>
      <c r="F359" s="4"/>
      <c r="G359" s="125"/>
      <c r="H359" s="120"/>
      <c r="I359" s="4"/>
      <c r="J359" s="4"/>
      <c r="K359" s="4"/>
      <c r="L359" s="4"/>
      <c r="M359" s="125"/>
      <c r="N359" s="124"/>
    </row>
    <row r="360" spans="1:14" x14ac:dyDescent="0.25">
      <c r="A360" s="4"/>
      <c r="B360" s="4"/>
      <c r="C360" s="4"/>
      <c r="D360" s="4"/>
      <c r="E360" s="4"/>
      <c r="F360" s="4"/>
      <c r="G360" s="125"/>
      <c r="H360" s="120"/>
      <c r="I360" s="4"/>
      <c r="J360" s="4"/>
      <c r="K360" s="4"/>
      <c r="L360" s="4"/>
      <c r="M360" s="125"/>
      <c r="N360" s="124"/>
    </row>
    <row r="361" spans="1:14" x14ac:dyDescent="0.25">
      <c r="A361" s="4"/>
      <c r="B361" s="4"/>
      <c r="C361" s="4"/>
      <c r="D361" s="4"/>
      <c r="E361" s="4"/>
      <c r="F361" s="4"/>
      <c r="G361" s="125"/>
      <c r="H361" s="120"/>
      <c r="I361" s="4"/>
      <c r="J361" s="4"/>
      <c r="K361" s="4"/>
      <c r="L361" s="4"/>
      <c r="M361" s="125"/>
      <c r="N361" s="124"/>
    </row>
    <row r="362" spans="1:14" x14ac:dyDescent="0.25">
      <c r="A362" s="4"/>
      <c r="B362" s="4"/>
      <c r="C362" s="4"/>
      <c r="D362" s="4"/>
      <c r="E362" s="4"/>
      <c r="F362" s="4"/>
      <c r="G362" s="125"/>
      <c r="H362" s="120"/>
      <c r="I362" s="4"/>
      <c r="J362" s="4"/>
      <c r="K362" s="4"/>
      <c r="L362" s="4"/>
      <c r="M362" s="125"/>
      <c r="N362" s="124"/>
    </row>
    <row r="363" spans="1:14" x14ac:dyDescent="0.25">
      <c r="A363" s="4"/>
      <c r="B363" s="4"/>
      <c r="C363" s="4"/>
      <c r="D363" s="4"/>
      <c r="E363" s="4"/>
      <c r="F363" s="4"/>
      <c r="G363" s="125"/>
      <c r="H363" s="120"/>
      <c r="I363" s="4"/>
      <c r="J363" s="4"/>
      <c r="K363" s="4"/>
      <c r="L363" s="4"/>
      <c r="M363" s="125"/>
      <c r="N363" s="124"/>
    </row>
    <row r="364" spans="1:14" x14ac:dyDescent="0.25">
      <c r="A364" s="4"/>
      <c r="B364" s="4"/>
      <c r="C364" s="4"/>
      <c r="D364" s="4"/>
      <c r="E364" s="4"/>
      <c r="F364" s="4"/>
      <c r="G364" s="125"/>
      <c r="H364" s="120"/>
      <c r="I364" s="4"/>
      <c r="J364" s="4"/>
      <c r="K364" s="4"/>
      <c r="L364" s="4"/>
      <c r="M364" s="125"/>
      <c r="N364" s="124"/>
    </row>
    <row r="365" spans="1:14" x14ac:dyDescent="0.25">
      <c r="A365" s="4"/>
      <c r="B365" s="4"/>
      <c r="C365" s="4"/>
      <c r="D365" s="4"/>
      <c r="E365" s="4"/>
      <c r="F365" s="4"/>
      <c r="G365" s="125"/>
      <c r="H365" s="120"/>
      <c r="I365" s="4"/>
      <c r="J365" s="4"/>
      <c r="K365" s="4"/>
      <c r="L365" s="4"/>
      <c r="M365" s="125"/>
      <c r="N365" s="124"/>
    </row>
    <row r="366" spans="1:14" x14ac:dyDescent="0.25">
      <c r="A366" s="4"/>
      <c r="B366" s="4"/>
      <c r="C366" s="4"/>
      <c r="D366" s="4"/>
      <c r="E366" s="4"/>
      <c r="F366" s="4"/>
      <c r="G366" s="125"/>
      <c r="H366" s="120"/>
      <c r="I366" s="4"/>
      <c r="J366" s="4"/>
      <c r="K366" s="4"/>
      <c r="L366" s="4"/>
      <c r="M366" s="125"/>
      <c r="N366" s="124"/>
    </row>
    <row r="367" spans="1:14" x14ac:dyDescent="0.25">
      <c r="A367" s="4"/>
      <c r="B367" s="4"/>
      <c r="C367" s="4"/>
      <c r="D367" s="4"/>
      <c r="E367" s="4"/>
      <c r="F367" s="4"/>
      <c r="G367" s="125"/>
      <c r="H367" s="120"/>
      <c r="I367" s="4"/>
      <c r="J367" s="4"/>
      <c r="K367" s="4"/>
      <c r="L367" s="4"/>
      <c r="M367" s="125"/>
      <c r="N367" s="124"/>
    </row>
    <row r="368" spans="1:14" x14ac:dyDescent="0.25">
      <c r="A368" s="4"/>
      <c r="B368" s="4"/>
      <c r="C368" s="4"/>
      <c r="D368" s="4"/>
      <c r="E368" s="4"/>
      <c r="F368" s="4"/>
      <c r="G368" s="125"/>
      <c r="H368" s="120"/>
      <c r="I368" s="4"/>
      <c r="J368" s="4"/>
      <c r="K368" s="4"/>
      <c r="L368" s="4"/>
      <c r="M368" s="125"/>
      <c r="N368" s="124"/>
    </row>
    <row r="369" spans="1:14" x14ac:dyDescent="0.25">
      <c r="A369" s="4"/>
      <c r="B369" s="4"/>
      <c r="C369" s="4"/>
      <c r="D369" s="4"/>
      <c r="E369" s="4"/>
      <c r="F369" s="4"/>
      <c r="G369" s="125"/>
      <c r="H369" s="120"/>
      <c r="I369" s="4"/>
      <c r="J369" s="4"/>
      <c r="K369" s="4"/>
      <c r="L369" s="4"/>
      <c r="M369" s="125"/>
      <c r="N369" s="124"/>
    </row>
    <row r="370" spans="1:14" x14ac:dyDescent="0.25">
      <c r="A370" s="4"/>
      <c r="B370" s="4"/>
      <c r="C370" s="4"/>
      <c r="D370" s="4"/>
      <c r="E370" s="4"/>
      <c r="F370" s="4"/>
      <c r="G370" s="125"/>
      <c r="H370" s="120"/>
      <c r="I370" s="4"/>
      <c r="J370" s="4"/>
      <c r="K370" s="4"/>
      <c r="L370" s="4"/>
      <c r="M370" s="125"/>
      <c r="N370" s="124"/>
    </row>
    <row r="371" spans="1:14" x14ac:dyDescent="0.25">
      <c r="A371" s="4"/>
      <c r="B371" s="4"/>
      <c r="C371" s="4"/>
      <c r="D371" s="4"/>
      <c r="E371" s="4"/>
      <c r="F371" s="4"/>
      <c r="G371" s="125"/>
      <c r="H371" s="120"/>
      <c r="I371" s="4"/>
      <c r="J371" s="4"/>
      <c r="K371" s="4"/>
      <c r="L371" s="4"/>
      <c r="M371" s="125"/>
      <c r="N371" s="124"/>
    </row>
    <row r="372" spans="1:14" x14ac:dyDescent="0.25">
      <c r="A372" s="4"/>
      <c r="B372" s="4"/>
      <c r="C372" s="4"/>
      <c r="D372" s="4"/>
      <c r="E372" s="4"/>
      <c r="F372" s="4"/>
      <c r="G372" s="125"/>
      <c r="H372" s="120"/>
      <c r="I372" s="4"/>
      <c r="J372" s="4"/>
      <c r="K372" s="4"/>
      <c r="L372" s="4"/>
      <c r="M372" s="125"/>
      <c r="N372" s="124"/>
    </row>
    <row r="373" spans="1:14" x14ac:dyDescent="0.25">
      <c r="A373" s="4"/>
      <c r="B373" s="4"/>
      <c r="C373" s="4"/>
      <c r="D373" s="4"/>
      <c r="E373" s="4"/>
      <c r="F373" s="4"/>
      <c r="G373" s="125"/>
      <c r="H373" s="120"/>
      <c r="I373" s="4"/>
      <c r="J373" s="4"/>
      <c r="K373" s="4"/>
      <c r="L373" s="4"/>
      <c r="M373" s="125"/>
      <c r="N373" s="124"/>
    </row>
    <row r="374" spans="1:14" x14ac:dyDescent="0.25">
      <c r="A374" s="4"/>
      <c r="B374" s="4"/>
      <c r="C374" s="4"/>
      <c r="D374" s="4"/>
      <c r="E374" s="4"/>
      <c r="F374" s="4"/>
      <c r="G374" s="125"/>
      <c r="H374" s="120"/>
      <c r="I374" s="4"/>
      <c r="J374" s="4"/>
      <c r="K374" s="4"/>
      <c r="L374" s="4"/>
      <c r="M374" s="125"/>
      <c r="N374" s="124"/>
    </row>
    <row r="375" spans="1:14" x14ac:dyDescent="0.25">
      <c r="A375" s="4"/>
      <c r="B375" s="4"/>
      <c r="C375" s="4"/>
      <c r="D375" s="4"/>
      <c r="E375" s="4"/>
      <c r="F375" s="4"/>
      <c r="G375" s="125"/>
      <c r="H375" s="120"/>
      <c r="I375" s="4"/>
      <c r="J375" s="4"/>
      <c r="K375" s="4"/>
      <c r="L375" s="4"/>
      <c r="M375" s="125"/>
      <c r="N375" s="124"/>
    </row>
    <row r="376" spans="1:14" x14ac:dyDescent="0.25">
      <c r="A376" s="4"/>
      <c r="B376" s="4"/>
      <c r="C376" s="4"/>
      <c r="D376" s="4"/>
      <c r="E376" s="4"/>
      <c r="F376" s="4"/>
      <c r="G376" s="125"/>
      <c r="H376" s="120"/>
      <c r="I376" s="4"/>
      <c r="J376" s="4"/>
      <c r="K376" s="4"/>
      <c r="L376" s="4"/>
      <c r="M376" s="125"/>
      <c r="N376" s="124"/>
    </row>
    <row r="377" spans="1:14" x14ac:dyDescent="0.25">
      <c r="A377" s="4"/>
      <c r="B377" s="4"/>
      <c r="C377" s="4"/>
      <c r="D377" s="4"/>
      <c r="E377" s="4"/>
      <c r="F377" s="4"/>
      <c r="G377" s="125"/>
      <c r="H377" s="120"/>
      <c r="I377" s="4"/>
      <c r="J377" s="4"/>
      <c r="K377" s="4"/>
      <c r="L377" s="4"/>
      <c r="M377" s="125"/>
      <c r="N377" s="124"/>
    </row>
  </sheetData>
  <dataConsolidate>
    <dataRefs count="3">
      <dataRef ref="A2:F28" sheet="Despesas"/>
      <dataRef ref="N2:O9" sheet="Despesas"/>
      <dataRef ref="N20:O40" sheet="Despesas"/>
    </dataRefs>
  </dataConsolidate>
  <mergeCells count="2">
    <mergeCell ref="AD7:AG7"/>
    <mergeCell ref="W2:Y2"/>
  </mergeCells>
  <dataValidations count="2">
    <dataValidation type="list" allowBlank="1" showInputMessage="1" showErrorMessage="1" sqref="B1:B1048576">
      <formula1>Fornecedores</formula1>
    </dataValidation>
    <dataValidation type="list" allowBlank="1" showInputMessage="1" showErrorMessage="1" sqref="C1:C1048576">
      <formula1>INDIRECT(B1)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9" r:id="rId4" name="Button 41">
              <controlPr defaultSize="0" print="0" autoFill="0" autoPict="0" macro="[0]!Botão41_Clique">
                <anchor moveWithCells="1" sizeWithCells="1">
                  <from>
                    <xdr:col>15</xdr:col>
                    <xdr:colOff>352425</xdr:colOff>
                    <xdr:row>0</xdr:row>
                    <xdr:rowOff>133350</xdr:rowOff>
                  </from>
                  <to>
                    <xdr:col>20</xdr:col>
                    <xdr:colOff>209550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'Banco de Dados'!$R$3:$R$4</xm:f>
          </x14:formula1>
          <xm:sqref>J2:J6</xm:sqref>
        </x14:dataValidation>
        <x14:dataValidation type="list" allowBlank="1" showInputMessage="1" showErrorMessage="1">
          <x14:formula1>
            <xm:f>'Banco de Dados'!$V$3:$V$14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B14"/>
  <sheetViews>
    <sheetView topLeftCell="D1" workbookViewId="0">
      <selection activeCell="M7" sqref="M7"/>
    </sheetView>
  </sheetViews>
  <sheetFormatPr defaultRowHeight="15" x14ac:dyDescent="0.25"/>
  <cols>
    <col min="1" max="1" width="13.7109375" customWidth="1"/>
    <col min="2" max="2" width="12.85546875" customWidth="1"/>
    <col min="3" max="3" width="12.42578125" customWidth="1"/>
    <col min="5" max="5" width="12.85546875" customWidth="1"/>
    <col min="6" max="6" width="15.85546875" customWidth="1"/>
    <col min="7" max="7" width="16.42578125" customWidth="1"/>
    <col min="8" max="8" width="23.140625" customWidth="1"/>
    <col min="9" max="9" width="25.140625" customWidth="1"/>
    <col min="10" max="10" width="19.42578125" customWidth="1"/>
    <col min="12" max="12" width="15.5703125" customWidth="1"/>
    <col min="13" max="13" width="18" customWidth="1"/>
    <col min="14" max="14" width="14.140625" customWidth="1"/>
    <col min="18" max="18" width="18.5703125" customWidth="1"/>
    <col min="22" max="22" width="11.7109375" customWidth="1"/>
    <col min="24" max="24" width="20.5703125" customWidth="1"/>
    <col min="26" max="26" width="20.85546875" customWidth="1"/>
    <col min="28" max="28" width="13.140625" customWidth="1"/>
  </cols>
  <sheetData>
    <row r="1" spans="1:28" x14ac:dyDescent="0.25">
      <c r="A1" s="151" t="s">
        <v>11</v>
      </c>
      <c r="B1" s="151"/>
    </row>
    <row r="2" spans="1:28" x14ac:dyDescent="0.25">
      <c r="A2" t="s">
        <v>108</v>
      </c>
      <c r="B2" t="s">
        <v>12</v>
      </c>
      <c r="C2" t="s">
        <v>109</v>
      </c>
      <c r="D2" t="s">
        <v>42</v>
      </c>
      <c r="E2" t="s">
        <v>43</v>
      </c>
      <c r="F2" t="s">
        <v>44</v>
      </c>
      <c r="G2" t="s">
        <v>45</v>
      </c>
      <c r="H2" t="s">
        <v>111</v>
      </c>
      <c r="I2" t="s">
        <v>4</v>
      </c>
      <c r="J2" t="s">
        <v>0</v>
      </c>
      <c r="K2" t="s">
        <v>5</v>
      </c>
      <c r="L2" t="s">
        <v>13</v>
      </c>
      <c r="M2" t="s">
        <v>110</v>
      </c>
      <c r="N2" t="s">
        <v>112</v>
      </c>
      <c r="R2" t="s">
        <v>19</v>
      </c>
      <c r="T2" t="s">
        <v>5</v>
      </c>
      <c r="V2" t="s">
        <v>21</v>
      </c>
      <c r="X2" t="s">
        <v>24</v>
      </c>
      <c r="Z2" t="s">
        <v>44</v>
      </c>
      <c r="AB2" t="s">
        <v>45</v>
      </c>
    </row>
    <row r="3" spans="1:28" x14ac:dyDescent="0.25">
      <c r="A3" t="s">
        <v>119</v>
      </c>
      <c r="B3" t="s">
        <v>120</v>
      </c>
      <c r="C3">
        <v>297821897</v>
      </c>
      <c r="D3">
        <v>9189</v>
      </c>
      <c r="E3">
        <v>189981</v>
      </c>
      <c r="F3" t="s">
        <v>47</v>
      </c>
      <c r="G3" t="s">
        <v>49</v>
      </c>
      <c r="H3" t="s">
        <v>121</v>
      </c>
      <c r="R3" t="s">
        <v>129</v>
      </c>
      <c r="T3" t="s">
        <v>41</v>
      </c>
      <c r="U3">
        <v>1</v>
      </c>
      <c r="V3" t="s">
        <v>9</v>
      </c>
      <c r="W3" t="str">
        <f>"01"</f>
        <v>01</v>
      </c>
      <c r="X3" s="5" t="s">
        <v>35</v>
      </c>
      <c r="Z3" t="s">
        <v>47</v>
      </c>
      <c r="AB3" t="s">
        <v>49</v>
      </c>
    </row>
    <row r="4" spans="1:28" x14ac:dyDescent="0.25">
      <c r="A4" t="s">
        <v>124</v>
      </c>
      <c r="B4" t="s">
        <v>125</v>
      </c>
      <c r="C4">
        <v>48989489</v>
      </c>
      <c r="D4">
        <v>418919</v>
      </c>
      <c r="E4">
        <v>18919</v>
      </c>
      <c r="F4" t="s">
        <v>47</v>
      </c>
      <c r="G4" t="s">
        <v>49</v>
      </c>
      <c r="H4" t="s">
        <v>126</v>
      </c>
      <c r="J4" t="s">
        <v>120</v>
      </c>
      <c r="R4" t="s">
        <v>130</v>
      </c>
      <c r="T4" t="s">
        <v>40</v>
      </c>
      <c r="U4">
        <v>2</v>
      </c>
      <c r="V4" t="s">
        <v>10</v>
      </c>
      <c r="W4" t="str">
        <f>"02"</f>
        <v>02</v>
      </c>
      <c r="X4" s="5" t="s">
        <v>36</v>
      </c>
      <c r="Z4" t="s">
        <v>48</v>
      </c>
      <c r="AB4" t="s">
        <v>50</v>
      </c>
    </row>
    <row r="5" spans="1:28" x14ac:dyDescent="0.25">
      <c r="I5" t="str">
        <f>$J$4&amp;J5</f>
        <v>Fornecedor1Servico4</v>
      </c>
      <c r="J5" t="s">
        <v>128</v>
      </c>
      <c r="K5" t="s">
        <v>41</v>
      </c>
      <c r="L5" t="s">
        <v>37</v>
      </c>
      <c r="M5">
        <v>20</v>
      </c>
      <c r="N5">
        <v>2000</v>
      </c>
      <c r="U5">
        <v>3</v>
      </c>
      <c r="V5" s="1" t="s">
        <v>25</v>
      </c>
      <c r="W5" t="str">
        <f>"03"</f>
        <v>03</v>
      </c>
      <c r="X5" s="5" t="s">
        <v>37</v>
      </c>
    </row>
    <row r="6" spans="1:28" x14ac:dyDescent="0.25">
      <c r="I6" t="str">
        <f>$J$4&amp;J6</f>
        <v>Fornecedor1Servico2</v>
      </c>
      <c r="J6" t="s">
        <v>123</v>
      </c>
      <c r="K6" t="s">
        <v>40</v>
      </c>
      <c r="L6" t="s">
        <v>36</v>
      </c>
      <c r="M6">
        <v>28</v>
      </c>
      <c r="N6">
        <v>200</v>
      </c>
      <c r="U6">
        <v>4</v>
      </c>
      <c r="V6" t="s">
        <v>26</v>
      </c>
      <c r="W6" t="str">
        <f>"04"</f>
        <v>04</v>
      </c>
      <c r="X6" s="5" t="s">
        <v>38</v>
      </c>
    </row>
    <row r="7" spans="1:28" x14ac:dyDescent="0.25">
      <c r="I7" t="str">
        <f>$J$4&amp;J7</f>
        <v>Fornecedor1Servico1</v>
      </c>
      <c r="J7" t="s">
        <v>122</v>
      </c>
      <c r="K7" t="s">
        <v>40</v>
      </c>
      <c r="L7" t="s">
        <v>37</v>
      </c>
      <c r="M7">
        <v>28</v>
      </c>
      <c r="N7">
        <v>150</v>
      </c>
      <c r="U7">
        <v>5</v>
      </c>
      <c r="V7" t="s">
        <v>27</v>
      </c>
      <c r="W7" t="str">
        <f>"05"</f>
        <v>05</v>
      </c>
      <c r="X7" s="5" t="s">
        <v>39</v>
      </c>
    </row>
    <row r="8" spans="1:28" x14ac:dyDescent="0.25">
      <c r="U8">
        <v>6</v>
      </c>
      <c r="V8" t="s">
        <v>28</v>
      </c>
      <c r="W8" t="str">
        <f>"06"</f>
        <v>06</v>
      </c>
      <c r="X8" s="5" t="s">
        <v>107</v>
      </c>
    </row>
    <row r="9" spans="1:28" x14ac:dyDescent="0.25">
      <c r="J9" t="s">
        <v>125</v>
      </c>
      <c r="U9">
        <v>7</v>
      </c>
      <c r="V9" t="s">
        <v>29</v>
      </c>
      <c r="W9" t="str">
        <f>"07"</f>
        <v>07</v>
      </c>
    </row>
    <row r="10" spans="1:28" x14ac:dyDescent="0.25">
      <c r="I10" t="str">
        <f>$J$9&amp;J10</f>
        <v>Fornecedor2Servico4</v>
      </c>
      <c r="J10" t="s">
        <v>128</v>
      </c>
      <c r="K10" t="s">
        <v>41</v>
      </c>
      <c r="L10" t="s">
        <v>37</v>
      </c>
      <c r="M10">
        <v>20</v>
      </c>
      <c r="N10">
        <v>2000</v>
      </c>
      <c r="U10">
        <v>8</v>
      </c>
      <c r="V10" t="s">
        <v>30</v>
      </c>
      <c r="W10" t="str">
        <f>"08"</f>
        <v>08</v>
      </c>
    </row>
    <row r="11" spans="1:28" x14ac:dyDescent="0.25">
      <c r="I11" t="str">
        <f>$J$9&amp;J11</f>
        <v>Fornecedor2Servico3</v>
      </c>
      <c r="J11" t="s">
        <v>127</v>
      </c>
      <c r="K11" t="s">
        <v>40</v>
      </c>
      <c r="L11" t="s">
        <v>37</v>
      </c>
      <c r="M11">
        <v>20</v>
      </c>
      <c r="N11">
        <v>2000</v>
      </c>
      <c r="U11">
        <v>9</v>
      </c>
      <c r="V11" t="s">
        <v>31</v>
      </c>
      <c r="W11" t="str">
        <f>"09"</f>
        <v>09</v>
      </c>
    </row>
    <row r="12" spans="1:28" x14ac:dyDescent="0.25">
      <c r="U12">
        <v>10</v>
      </c>
      <c r="V12" t="s">
        <v>32</v>
      </c>
      <c r="W12" t="str">
        <f>"10"</f>
        <v>10</v>
      </c>
    </row>
    <row r="13" spans="1:28" x14ac:dyDescent="0.25">
      <c r="U13">
        <v>11</v>
      </c>
      <c r="V13" t="s">
        <v>33</v>
      </c>
      <c r="W13" t="str">
        <f>"11"</f>
        <v>11</v>
      </c>
    </row>
    <row r="14" spans="1:28" x14ac:dyDescent="0.25">
      <c r="U14">
        <v>12</v>
      </c>
      <c r="V14" t="s">
        <v>34</v>
      </c>
      <c r="W14" t="str">
        <f>"12"</f>
        <v>12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D64"/>
  <sheetViews>
    <sheetView showGridLines="0" workbookViewId="0">
      <selection activeCell="S23" sqref="S23:S24"/>
    </sheetView>
  </sheetViews>
  <sheetFormatPr defaultRowHeight="15" x14ac:dyDescent="0.25"/>
  <cols>
    <col min="1" max="1" width="3.42578125" customWidth="1"/>
    <col min="2" max="2" width="1.7109375" style="1" customWidth="1"/>
    <col min="3" max="4" width="4.42578125" customWidth="1"/>
    <col min="5" max="5" width="9.7109375" customWidth="1"/>
    <col min="6" max="6" width="4.42578125" customWidth="1"/>
    <col min="7" max="7" width="3.5703125" customWidth="1"/>
    <col min="8" max="8" width="4" customWidth="1"/>
    <col min="9" max="9" width="4.5703125" customWidth="1"/>
    <col min="10" max="10" width="5.140625" customWidth="1"/>
    <col min="11" max="11" width="4.5703125" customWidth="1"/>
    <col min="12" max="12" width="4" customWidth="1"/>
    <col min="13" max="13" width="14.7109375" customWidth="1"/>
    <col min="14" max="15" width="2.140625" customWidth="1"/>
    <col min="16" max="16" width="12.42578125" customWidth="1"/>
    <col min="17" max="17" width="4.85546875" customWidth="1"/>
    <col min="18" max="18" width="2.140625" customWidth="1"/>
    <col min="19" max="19" width="23.28515625" customWidth="1"/>
    <col min="20" max="20" width="1.7109375" customWidth="1"/>
    <col min="21" max="21" width="3.28515625" hidden="1" customWidth="1"/>
    <col min="22" max="22" width="1.140625" hidden="1" customWidth="1"/>
    <col min="23" max="23" width="0.5703125" customWidth="1"/>
    <col min="27" max="27" width="19.28515625" bestFit="1" customWidth="1"/>
  </cols>
  <sheetData>
    <row r="1" spans="2:25" x14ac:dyDescent="0.25">
      <c r="B1" s="7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9"/>
      <c r="U1" s="1"/>
      <c r="V1" s="1"/>
    </row>
    <row r="2" spans="2:25" x14ac:dyDescent="0.25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2"/>
      <c r="U2" s="1"/>
      <c r="V2" s="1"/>
    </row>
    <row r="3" spans="2:25" x14ac:dyDescent="0.25">
      <c r="B3" s="10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2"/>
      <c r="U3" s="1"/>
      <c r="V3" s="1"/>
      <c r="X3" s="1"/>
    </row>
    <row r="4" spans="2:25" ht="15.75" x14ac:dyDescent="0.25">
      <c r="B4" s="10"/>
      <c r="C4" s="11"/>
      <c r="D4" s="11"/>
      <c r="E4" s="11"/>
      <c r="F4" s="11"/>
      <c r="G4" s="11"/>
      <c r="H4" s="11"/>
      <c r="I4" s="11"/>
      <c r="J4" s="13"/>
      <c r="K4" s="13"/>
      <c r="L4" s="13"/>
      <c r="M4" s="13"/>
      <c r="N4" s="13"/>
      <c r="O4" s="13"/>
      <c r="P4" s="13"/>
      <c r="Q4" s="13"/>
      <c r="R4" s="13"/>
      <c r="S4" s="13"/>
      <c r="T4" s="12"/>
      <c r="U4" s="1"/>
      <c r="V4" s="1"/>
    </row>
    <row r="5" spans="2:25" ht="15.75" x14ac:dyDescent="0.25">
      <c r="B5" s="14"/>
      <c r="C5" s="15"/>
      <c r="D5" s="15"/>
      <c r="E5" s="15"/>
      <c r="F5" s="16" t="s">
        <v>52</v>
      </c>
      <c r="G5" s="13"/>
      <c r="H5" s="13"/>
      <c r="I5" s="13"/>
      <c r="J5" s="13"/>
      <c r="K5" s="13"/>
      <c r="L5" s="13"/>
      <c r="M5" s="13"/>
      <c r="N5" s="13"/>
      <c r="O5" s="13"/>
      <c r="P5" s="11"/>
      <c r="Q5" s="11"/>
      <c r="R5" s="11"/>
      <c r="S5" s="11"/>
      <c r="T5" s="17"/>
      <c r="U5" s="1"/>
      <c r="V5" s="1"/>
    </row>
    <row r="6" spans="2:25" ht="15.75" x14ac:dyDescent="0.25">
      <c r="B6" s="10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76" t="s">
        <v>53</v>
      </c>
      <c r="Q6" s="177"/>
      <c r="R6" s="178"/>
      <c r="S6" s="19"/>
      <c r="T6" s="20"/>
      <c r="U6" s="1"/>
      <c r="V6" s="1"/>
    </row>
    <row r="7" spans="2:25" ht="15.75" x14ac:dyDescent="0.25">
      <c r="B7" s="21"/>
      <c r="C7" s="22" t="s">
        <v>54</v>
      </c>
      <c r="D7" s="23"/>
      <c r="E7" s="24"/>
      <c r="F7" s="25"/>
      <c r="G7" s="24" t="s">
        <v>55</v>
      </c>
      <c r="H7" s="24"/>
      <c r="I7" s="24"/>
      <c r="J7" s="26" t="s">
        <v>56</v>
      </c>
      <c r="K7" s="27" t="s">
        <v>57</v>
      </c>
      <c r="L7" s="23"/>
      <c r="M7" s="23"/>
      <c r="N7" s="23"/>
      <c r="O7" s="23"/>
      <c r="P7" s="23"/>
      <c r="Q7" s="23"/>
      <c r="R7" s="23"/>
      <c r="S7" s="23"/>
      <c r="T7" s="28"/>
      <c r="U7" s="1"/>
      <c r="V7" s="1"/>
      <c r="Y7" s="103"/>
    </row>
    <row r="8" spans="2:25" ht="15.75" x14ac:dyDescent="0.25">
      <c r="B8" s="10"/>
      <c r="C8" s="29" t="s">
        <v>58</v>
      </c>
      <c r="D8" s="11"/>
      <c r="E8" s="30"/>
      <c r="F8" s="179" t="s">
        <v>59</v>
      </c>
      <c r="G8" s="179"/>
      <c r="H8" s="179"/>
      <c r="I8" s="179"/>
      <c r="J8" s="179"/>
      <c r="K8" s="179"/>
      <c r="L8" s="179"/>
      <c r="M8" s="11"/>
      <c r="N8" s="11"/>
      <c r="O8" s="11"/>
      <c r="P8" s="11"/>
      <c r="Q8" s="11"/>
      <c r="R8" s="11"/>
      <c r="S8" s="11"/>
      <c r="T8" s="12"/>
      <c r="U8" s="1"/>
      <c r="V8" s="1"/>
      <c r="Y8" s="104" t="s">
        <v>101</v>
      </c>
    </row>
    <row r="9" spans="2:25" s="31" customFormat="1" ht="15.75" x14ac:dyDescent="0.25">
      <c r="B9" s="32"/>
      <c r="C9" s="33"/>
      <c r="D9" s="33"/>
      <c r="E9" s="33"/>
      <c r="F9" s="33"/>
      <c r="G9" s="34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5"/>
      <c r="U9" s="105"/>
      <c r="V9" s="105"/>
      <c r="Y9" s="104" t="s">
        <v>102</v>
      </c>
    </row>
    <row r="10" spans="2:25" s="36" customFormat="1" ht="15.75" x14ac:dyDescent="0.25">
      <c r="B10" s="37"/>
      <c r="C10" s="38"/>
      <c r="D10" s="13" t="s">
        <v>60</v>
      </c>
      <c r="E10" s="13"/>
      <c r="F10" s="13"/>
      <c r="G10" s="13"/>
      <c r="H10" s="38" t="s">
        <v>56</v>
      </c>
      <c r="I10" s="13" t="s">
        <v>14</v>
      </c>
      <c r="J10" s="13"/>
      <c r="K10" s="13"/>
      <c r="L10" s="38"/>
      <c r="M10" s="13" t="s">
        <v>61</v>
      </c>
      <c r="N10" s="13"/>
      <c r="O10" s="34"/>
      <c r="P10" s="15" t="s">
        <v>62</v>
      </c>
      <c r="Q10" s="13"/>
      <c r="R10" s="39"/>
      <c r="S10" s="40">
        <v>9189</v>
      </c>
      <c r="T10" s="41"/>
      <c r="U10" s="13"/>
      <c r="V10" s="13"/>
      <c r="W10" s="46"/>
      <c r="Y10" s="104" t="s">
        <v>103</v>
      </c>
    </row>
    <row r="11" spans="2:25" s="36" customFormat="1" ht="15.75" x14ac:dyDescent="0.25">
      <c r="B11" s="42"/>
      <c r="C11" s="13"/>
      <c r="D11" s="13"/>
      <c r="E11" s="13"/>
      <c r="F11" s="13"/>
      <c r="G11" s="13"/>
      <c r="H11" s="43"/>
      <c r="I11" s="13"/>
      <c r="J11" s="13"/>
      <c r="K11" s="13"/>
      <c r="L11" s="13"/>
      <c r="M11" s="13"/>
      <c r="N11" s="13"/>
      <c r="O11" s="13"/>
      <c r="P11" s="15" t="s">
        <v>63</v>
      </c>
      <c r="Q11" s="13"/>
      <c r="R11" s="39"/>
      <c r="S11" s="44">
        <v>189981</v>
      </c>
      <c r="T11" s="45"/>
      <c r="U11" s="13"/>
      <c r="V11" s="13"/>
      <c r="W11" s="46"/>
      <c r="Y11" s="104" t="s">
        <v>104</v>
      </c>
    </row>
    <row r="12" spans="2:25" s="36" customFormat="1" ht="15.75" x14ac:dyDescent="0.25">
      <c r="B12" s="42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7"/>
      <c r="O12" s="13"/>
      <c r="P12" s="48" t="s">
        <v>64</v>
      </c>
      <c r="Q12" s="13"/>
      <c r="R12" s="39"/>
      <c r="S12" s="44" t="s">
        <v>119</v>
      </c>
      <c r="T12" s="49"/>
      <c r="U12" s="42"/>
      <c r="V12" s="13"/>
      <c r="W12" s="46"/>
      <c r="Y12" s="104" t="s">
        <v>105</v>
      </c>
    </row>
    <row r="13" spans="2:25" s="36" customFormat="1" ht="15.75" x14ac:dyDescent="0.25">
      <c r="B13" s="42"/>
      <c r="C13" s="38"/>
      <c r="D13" s="46" t="s">
        <v>65</v>
      </c>
      <c r="E13" s="46"/>
      <c r="F13" s="46"/>
      <c r="G13" s="46"/>
      <c r="H13" s="13"/>
      <c r="I13" s="13"/>
      <c r="J13" s="13"/>
      <c r="K13" s="13"/>
      <c r="L13" s="13"/>
      <c r="M13" s="50"/>
      <c r="N13" s="13"/>
      <c r="O13" s="13"/>
      <c r="P13" s="13" t="s">
        <v>66</v>
      </c>
      <c r="Q13" s="13"/>
      <c r="R13" s="13"/>
      <c r="S13" s="51">
        <v>297821897</v>
      </c>
      <c r="T13" s="45"/>
      <c r="U13" s="13"/>
      <c r="V13" s="13"/>
      <c r="W13" s="46"/>
      <c r="Y13" s="104" t="s">
        <v>59</v>
      </c>
    </row>
    <row r="14" spans="2:25" s="36" customFormat="1" ht="15.75" x14ac:dyDescent="0.25">
      <c r="B14" s="42"/>
      <c r="C14" s="13"/>
      <c r="D14" s="13"/>
      <c r="E14" s="13"/>
      <c r="F14" s="13"/>
      <c r="G14" s="13"/>
      <c r="H14" s="4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45"/>
      <c r="U14" s="13"/>
      <c r="V14" s="13"/>
      <c r="W14" s="46"/>
      <c r="Y14" s="106"/>
    </row>
    <row r="15" spans="2:25" s="36" customFormat="1" ht="15.75" x14ac:dyDescent="0.25">
      <c r="B15" s="42"/>
      <c r="C15" s="38"/>
      <c r="D15" s="46" t="s">
        <v>67</v>
      </c>
      <c r="E15" s="13"/>
      <c r="F15" s="13"/>
      <c r="G15" s="13"/>
      <c r="H15" s="43"/>
      <c r="I15" s="13"/>
      <c r="J15" s="13"/>
      <c r="K15" s="13"/>
      <c r="L15" s="13"/>
      <c r="M15" s="50"/>
      <c r="N15" s="13"/>
      <c r="O15" s="13"/>
      <c r="P15" s="13"/>
      <c r="Q15" s="13"/>
      <c r="R15" s="13"/>
      <c r="S15" s="13"/>
      <c r="T15" s="45"/>
      <c r="U15" s="13"/>
      <c r="V15" s="13"/>
      <c r="W15" s="46"/>
    </row>
    <row r="16" spans="2:25" s="36" customFormat="1" ht="15.75" x14ac:dyDescent="0.25">
      <c r="B16" s="42"/>
      <c r="C16" s="13"/>
      <c r="D16" s="13"/>
      <c r="E16" s="13"/>
      <c r="F16" s="13"/>
      <c r="G16" s="13"/>
      <c r="H16" s="4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5"/>
      <c r="T16" s="45"/>
      <c r="U16" s="13"/>
      <c r="V16" s="13"/>
      <c r="W16" s="46"/>
    </row>
    <row r="17" spans="1:23" s="36" customFormat="1" ht="15.75" x14ac:dyDescent="0.25">
      <c r="B17" s="42"/>
      <c r="C17" s="38" t="s">
        <v>56</v>
      </c>
      <c r="D17" s="13" t="s">
        <v>68</v>
      </c>
      <c r="E17" s="13"/>
      <c r="F17" s="13"/>
      <c r="G17" s="13"/>
      <c r="H17" s="38"/>
      <c r="I17" s="13" t="s">
        <v>69</v>
      </c>
      <c r="J17" s="13"/>
      <c r="K17" s="13"/>
      <c r="L17" s="13"/>
      <c r="M17" s="47"/>
      <c r="N17" s="13"/>
      <c r="O17" s="13"/>
      <c r="P17" s="13"/>
      <c r="Q17" s="13"/>
      <c r="R17" s="13"/>
      <c r="S17" s="15"/>
      <c r="T17" s="45"/>
      <c r="U17" s="13"/>
      <c r="V17" s="13"/>
      <c r="W17" s="46"/>
    </row>
    <row r="18" spans="1:23" s="36" customFormat="1" ht="15.75" x14ac:dyDescent="0.25">
      <c r="B18" s="42"/>
      <c r="C18" s="13"/>
      <c r="D18" s="13"/>
      <c r="E18" s="13"/>
      <c r="F18" s="13"/>
      <c r="G18" s="13"/>
      <c r="H18" s="4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5"/>
      <c r="T18" s="45"/>
      <c r="U18" s="13"/>
      <c r="V18" s="13"/>
      <c r="W18" s="46"/>
    </row>
    <row r="19" spans="1:23" s="36" customFormat="1" ht="15.75" x14ac:dyDescent="0.25">
      <c r="B19" s="42"/>
      <c r="C19" s="38" t="s">
        <v>56</v>
      </c>
      <c r="D19" s="13" t="s">
        <v>49</v>
      </c>
      <c r="E19" s="13"/>
      <c r="F19" s="13"/>
      <c r="G19" s="13"/>
      <c r="H19" s="38"/>
      <c r="I19" s="13" t="s">
        <v>70</v>
      </c>
      <c r="J19" s="13"/>
      <c r="K19" s="13"/>
      <c r="L19" s="13"/>
      <c r="M19" s="13"/>
      <c r="N19" s="13"/>
      <c r="O19" s="13"/>
      <c r="P19" s="180" t="s">
        <v>121</v>
      </c>
      <c r="Q19" s="180"/>
      <c r="R19" s="180"/>
      <c r="S19" s="180"/>
      <c r="T19" s="45"/>
      <c r="U19" s="107"/>
      <c r="V19" s="107"/>
    </row>
    <row r="20" spans="1:23" s="36" customFormat="1" ht="15.75" x14ac:dyDescent="0.25">
      <c r="B20" s="42"/>
      <c r="C20" s="13"/>
      <c r="D20" s="13"/>
      <c r="E20" s="13"/>
      <c r="F20" s="13"/>
      <c r="G20" s="13"/>
      <c r="H20" s="4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5"/>
      <c r="T20" s="45"/>
      <c r="U20" s="107"/>
      <c r="V20" s="107"/>
    </row>
    <row r="21" spans="1:23" s="36" customFormat="1" ht="15.75" x14ac:dyDescent="0.25">
      <c r="B21" s="42"/>
      <c r="C21" s="13"/>
      <c r="D21" s="13"/>
      <c r="E21" s="13"/>
      <c r="F21" s="13"/>
      <c r="G21" s="13"/>
      <c r="H21" s="4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5"/>
      <c r="T21" s="45"/>
      <c r="U21" s="107"/>
      <c r="V21" s="107"/>
    </row>
    <row r="22" spans="1:23" s="36" customFormat="1" ht="15.75" x14ac:dyDescent="0.25">
      <c r="B22" s="42"/>
      <c r="C22" s="13" t="s">
        <v>71</v>
      </c>
      <c r="D22" s="15"/>
      <c r="E22" s="15"/>
      <c r="F22" s="15"/>
      <c r="G22" s="15"/>
      <c r="H22" s="30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43" t="s">
        <v>72</v>
      </c>
      <c r="T22" s="52"/>
      <c r="U22" s="107"/>
      <c r="V22" s="107"/>
    </row>
    <row r="23" spans="1:23" s="36" customFormat="1" ht="15.75" x14ac:dyDescent="0.25">
      <c r="B23" s="53"/>
      <c r="C23" s="181" t="s">
        <v>120</v>
      </c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3"/>
      <c r="R23" s="54"/>
      <c r="S23" s="184">
        <v>42444</v>
      </c>
      <c r="T23" s="55"/>
      <c r="U23" s="13"/>
      <c r="V23" s="13"/>
      <c r="W23" s="46"/>
    </row>
    <row r="24" spans="1:23" s="36" customFormat="1" ht="15.75" x14ac:dyDescent="0.25">
      <c r="B24" s="53"/>
      <c r="C24" s="182"/>
      <c r="D24" s="182"/>
      <c r="E24" s="182"/>
      <c r="F24" s="182"/>
      <c r="G24" s="182"/>
      <c r="H24" s="182"/>
      <c r="I24" s="182"/>
      <c r="J24" s="182"/>
      <c r="K24" s="182"/>
      <c r="L24" s="182"/>
      <c r="M24" s="182"/>
      <c r="N24" s="182"/>
      <c r="O24" s="182"/>
      <c r="P24" s="182"/>
      <c r="Q24" s="183"/>
      <c r="R24" s="11"/>
      <c r="S24" s="184"/>
      <c r="T24" s="56"/>
      <c r="U24" s="13"/>
      <c r="V24" s="13"/>
      <c r="W24" s="46"/>
    </row>
    <row r="25" spans="1:23" s="36" customFormat="1" ht="15.75" x14ac:dyDescent="0.25">
      <c r="B25" s="42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1"/>
      <c r="S25" s="57"/>
      <c r="T25" s="56"/>
      <c r="U25" s="13"/>
      <c r="V25" s="13"/>
      <c r="W25" s="46"/>
    </row>
    <row r="26" spans="1:23" s="36" customFormat="1" ht="15.75" x14ac:dyDescent="0.25">
      <c r="B26" s="42"/>
      <c r="C26" s="13" t="s">
        <v>73</v>
      </c>
      <c r="D26" s="15"/>
      <c r="E26" s="15"/>
      <c r="F26" s="15"/>
      <c r="G26" s="15"/>
      <c r="H26" s="15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43" t="s">
        <v>74</v>
      </c>
      <c r="T26" s="58"/>
      <c r="U26" s="13"/>
      <c r="V26" s="13"/>
      <c r="W26" s="46"/>
    </row>
    <row r="27" spans="1:23" s="36" customFormat="1" ht="15.75" x14ac:dyDescent="0.25">
      <c r="A27" s="46"/>
      <c r="B27" s="53"/>
      <c r="C27" s="185" t="s">
        <v>122</v>
      </c>
      <c r="D27" s="186"/>
      <c r="E27" s="186"/>
      <c r="F27" s="186"/>
      <c r="G27" s="186"/>
      <c r="H27" s="186"/>
      <c r="I27" s="186"/>
      <c r="J27" s="186"/>
      <c r="K27" s="186"/>
      <c r="L27" s="186"/>
      <c r="M27" s="186"/>
      <c r="N27" s="186"/>
      <c r="O27" s="186"/>
      <c r="P27" s="186"/>
      <c r="Q27" s="187"/>
      <c r="R27" s="11"/>
      <c r="S27" s="194">
        <v>200</v>
      </c>
      <c r="T27" s="59"/>
      <c r="U27" s="13"/>
      <c r="V27" s="13"/>
      <c r="W27" s="46"/>
    </row>
    <row r="28" spans="1:23" s="36" customFormat="1" ht="15.75" x14ac:dyDescent="0.25">
      <c r="A28" s="46"/>
      <c r="B28" s="53"/>
      <c r="C28" s="188"/>
      <c r="D28" s="189"/>
      <c r="E28" s="189"/>
      <c r="F28" s="189"/>
      <c r="G28" s="189"/>
      <c r="H28" s="189"/>
      <c r="I28" s="189"/>
      <c r="J28" s="189"/>
      <c r="K28" s="189"/>
      <c r="L28" s="189"/>
      <c r="M28" s="189"/>
      <c r="N28" s="189"/>
      <c r="O28" s="189"/>
      <c r="P28" s="189"/>
      <c r="Q28" s="190"/>
      <c r="R28" s="11"/>
      <c r="S28" s="195"/>
      <c r="T28" s="59"/>
      <c r="U28" s="13"/>
      <c r="V28" s="13"/>
      <c r="W28" s="46"/>
    </row>
    <row r="29" spans="1:23" s="36" customFormat="1" ht="15.75" x14ac:dyDescent="0.25">
      <c r="A29" s="46"/>
      <c r="B29" s="53"/>
      <c r="C29" s="191"/>
      <c r="D29" s="192"/>
      <c r="E29" s="192"/>
      <c r="F29" s="192"/>
      <c r="G29" s="192"/>
      <c r="H29" s="192"/>
      <c r="I29" s="192"/>
      <c r="J29" s="192"/>
      <c r="K29" s="192"/>
      <c r="L29" s="192"/>
      <c r="M29" s="192"/>
      <c r="N29" s="192"/>
      <c r="O29" s="192"/>
      <c r="P29" s="192"/>
      <c r="Q29" s="193"/>
      <c r="R29" s="11"/>
      <c r="S29" s="196"/>
      <c r="T29" s="59"/>
      <c r="U29" s="13"/>
      <c r="V29" s="13"/>
      <c r="W29" s="46"/>
    </row>
    <row r="30" spans="1:23" s="31" customFormat="1" x14ac:dyDescent="0.2">
      <c r="B30" s="32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5"/>
      <c r="U30" s="105"/>
      <c r="V30" s="105"/>
    </row>
    <row r="31" spans="1:23" s="31" customFormat="1" ht="15.75" x14ac:dyDescent="0.25">
      <c r="B31" s="32"/>
      <c r="C31" s="13" t="s">
        <v>75</v>
      </c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5"/>
      <c r="U31" s="105"/>
      <c r="V31" s="105"/>
    </row>
    <row r="32" spans="1:23" s="31" customFormat="1" x14ac:dyDescent="0.2">
      <c r="B32" s="32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5"/>
      <c r="U32" s="105"/>
      <c r="V32" s="105"/>
    </row>
    <row r="33" spans="2:30" s="60" customFormat="1" ht="33.75" customHeight="1" x14ac:dyDescent="0.25">
      <c r="B33" s="61"/>
      <c r="C33" s="197" t="s">
        <v>76</v>
      </c>
      <c r="D33" s="197"/>
      <c r="E33" s="197"/>
      <c r="F33" s="197"/>
      <c r="G33" s="62"/>
      <c r="H33" s="197" t="s">
        <v>77</v>
      </c>
      <c r="I33" s="197"/>
      <c r="J33" s="197"/>
      <c r="K33" s="197"/>
      <c r="L33" s="62"/>
      <c r="M33" s="63" t="s">
        <v>78</v>
      </c>
      <c r="N33" s="63"/>
      <c r="O33" s="63"/>
      <c r="P33" s="63" t="s">
        <v>79</v>
      </c>
      <c r="Q33" s="63"/>
      <c r="R33" s="62"/>
      <c r="S33" s="62" t="s">
        <v>80</v>
      </c>
      <c r="T33" s="64"/>
      <c r="U33" s="108"/>
      <c r="V33" s="108"/>
      <c r="AA33" s="108"/>
      <c r="AB33" s="108"/>
      <c r="AC33" s="108"/>
    </row>
    <row r="34" spans="2:30" s="31" customFormat="1" x14ac:dyDescent="0.2">
      <c r="B34" s="32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5"/>
      <c r="U34" s="105"/>
      <c r="V34" s="105"/>
      <c r="AA34" s="105"/>
      <c r="AB34" s="105"/>
      <c r="AC34" s="105"/>
    </row>
    <row r="35" spans="2:30" s="31" customFormat="1" x14ac:dyDescent="0.2">
      <c r="B35" s="32"/>
      <c r="C35" s="175"/>
      <c r="D35" s="175"/>
      <c r="E35" s="175"/>
      <c r="F35" s="175"/>
      <c r="G35" s="33"/>
      <c r="H35" s="175"/>
      <c r="I35" s="175"/>
      <c r="J35" s="175"/>
      <c r="K35" s="175"/>
      <c r="L35" s="33"/>
      <c r="M35" s="175"/>
      <c r="N35" s="175"/>
      <c r="O35" s="33"/>
      <c r="P35" s="175"/>
      <c r="Q35" s="175"/>
      <c r="R35" s="33"/>
      <c r="S35" s="65"/>
      <c r="T35" s="35"/>
      <c r="U35" s="105"/>
      <c r="V35" s="105"/>
      <c r="AA35" s="109"/>
      <c r="AB35" s="156"/>
      <c r="AC35" s="156"/>
    </row>
    <row r="36" spans="2:30" s="31" customFormat="1" x14ac:dyDescent="0.2">
      <c r="B36" s="32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5"/>
      <c r="U36" s="105"/>
      <c r="V36" s="105"/>
      <c r="AA36" s="157"/>
      <c r="AB36" s="158"/>
      <c r="AC36" s="158"/>
    </row>
    <row r="37" spans="2:30" s="31" customFormat="1" x14ac:dyDescent="0.2">
      <c r="B37" s="32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5"/>
      <c r="U37" s="105"/>
      <c r="V37" s="105"/>
      <c r="AA37" s="110"/>
      <c r="AB37" s="111"/>
      <c r="AC37" s="111"/>
    </row>
    <row r="38" spans="2:30" s="31" customFormat="1" x14ac:dyDescent="0.2">
      <c r="B38" s="32"/>
      <c r="C38" s="29" t="s">
        <v>81</v>
      </c>
      <c r="D38" s="33"/>
      <c r="E38" s="66">
        <f ca="1">NOW()</f>
        <v>42457.027711226852</v>
      </c>
      <c r="F38" s="67"/>
      <c r="G38" s="67"/>
      <c r="H38" s="67"/>
      <c r="I38" s="68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5"/>
      <c r="U38" s="105"/>
      <c r="AA38" s="112"/>
      <c r="AB38" s="113"/>
      <c r="AC38" s="114"/>
    </row>
    <row r="39" spans="2:30" s="31" customFormat="1" ht="15.75" thickBot="1" x14ac:dyDescent="0.25">
      <c r="B39" s="69"/>
      <c r="C39" s="70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2"/>
      <c r="U39" s="105"/>
      <c r="AA39" s="110"/>
      <c r="AB39" s="113"/>
      <c r="AC39" s="115"/>
    </row>
    <row r="40" spans="2:30" hidden="1" x14ac:dyDescent="0.25"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73"/>
      <c r="M40" s="73"/>
      <c r="N40" s="73"/>
      <c r="O40" s="73"/>
      <c r="P40" s="73"/>
      <c r="Q40" s="73"/>
      <c r="R40" s="73"/>
      <c r="S40" s="73"/>
      <c r="T40" s="8"/>
      <c r="AA40" s="110"/>
      <c r="AB40" s="113"/>
      <c r="AC40" s="115"/>
    </row>
    <row r="41" spans="2:30" ht="16.5" hidden="1" thickBot="1" x14ac:dyDescent="0.3">
      <c r="B41" s="11"/>
      <c r="C41" s="74"/>
      <c r="D41" s="74"/>
      <c r="E41" s="74"/>
      <c r="F41" s="74"/>
      <c r="G41" s="74"/>
      <c r="H41" s="74"/>
      <c r="I41" s="74"/>
      <c r="J41" s="74"/>
      <c r="K41" s="74"/>
      <c r="L41" s="75"/>
      <c r="M41" s="76"/>
      <c r="N41" s="76"/>
      <c r="O41" s="76"/>
      <c r="P41" s="167" t="s">
        <v>82</v>
      </c>
      <c r="Q41" s="168"/>
      <c r="R41" s="168"/>
      <c r="S41" s="77">
        <v>6384.7</v>
      </c>
      <c r="T41" s="74"/>
      <c r="X41" s="116"/>
      <c r="Y41" s="116"/>
      <c r="Z41" s="116"/>
      <c r="AA41" s="116"/>
      <c r="AB41" s="105"/>
      <c r="AC41" s="117"/>
      <c r="AD41" s="31"/>
    </row>
    <row r="42" spans="2:30" hidden="1" x14ac:dyDescent="0.25"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73"/>
      <c r="M42" s="76"/>
      <c r="N42" s="76"/>
      <c r="O42" s="76"/>
      <c r="P42" s="78" t="s">
        <v>83</v>
      </c>
      <c r="Q42" s="166">
        <v>6.4999999999999997E-3</v>
      </c>
      <c r="R42" s="166"/>
      <c r="S42" s="79">
        <f>-$S$41*Q42</f>
        <v>-41.500549999999997</v>
      </c>
      <c r="T42" s="80"/>
      <c r="AA42" s="159"/>
      <c r="AB42" s="159"/>
      <c r="AC42" s="118"/>
    </row>
    <row r="43" spans="2:30" hidden="1" x14ac:dyDescent="0.25"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73"/>
      <c r="M43" s="76"/>
      <c r="N43" s="76"/>
      <c r="O43" s="76"/>
      <c r="P43" s="78" t="s">
        <v>84</v>
      </c>
      <c r="Q43" s="166">
        <v>0.03</v>
      </c>
      <c r="R43" s="166"/>
      <c r="S43" s="79">
        <f>-$S$41*Q43</f>
        <v>-191.541</v>
      </c>
      <c r="T43" s="74"/>
      <c r="Y43" s="1"/>
      <c r="AA43" s="1"/>
      <c r="AB43" s="1"/>
      <c r="AC43" s="1"/>
    </row>
    <row r="44" spans="2:30" ht="15.75" hidden="1" x14ac:dyDescent="0.25">
      <c r="B44" s="11"/>
      <c r="C44" s="74"/>
      <c r="D44" s="74"/>
      <c r="E44" s="74"/>
      <c r="F44" s="74"/>
      <c r="G44" s="74"/>
      <c r="H44" s="74"/>
      <c r="I44" s="74"/>
      <c r="J44" s="74"/>
      <c r="K44" s="74"/>
      <c r="L44" s="75"/>
      <c r="M44" s="76"/>
      <c r="N44" s="76"/>
      <c r="O44" s="76"/>
      <c r="P44" s="78" t="s">
        <v>85</v>
      </c>
      <c r="Q44" s="166">
        <v>1.4999999999999999E-2</v>
      </c>
      <c r="R44" s="166"/>
      <c r="S44" s="79">
        <f>-$S$41*Q44</f>
        <v>-95.770499999999998</v>
      </c>
      <c r="T44" s="81"/>
      <c r="X44" s="31"/>
      <c r="Y44" s="31"/>
      <c r="Z44" s="31"/>
      <c r="AA44" s="105"/>
      <c r="AB44" s="105"/>
      <c r="AC44" s="105"/>
      <c r="AD44" s="31"/>
    </row>
    <row r="45" spans="2:30" ht="15.75" hidden="1" x14ac:dyDescent="0.25">
      <c r="B45" s="11"/>
      <c r="C45" s="74"/>
      <c r="D45" s="74"/>
      <c r="E45" s="74"/>
      <c r="F45" s="74"/>
      <c r="G45" s="74"/>
      <c r="H45" s="74"/>
      <c r="I45" s="74"/>
      <c r="J45" s="74"/>
      <c r="K45" s="74"/>
      <c r="L45" s="75"/>
      <c r="M45" s="76"/>
      <c r="N45" s="76"/>
      <c r="O45" s="76"/>
      <c r="P45" s="78" t="s">
        <v>86</v>
      </c>
      <c r="Q45" s="166">
        <v>0.01</v>
      </c>
      <c r="R45" s="166"/>
      <c r="S45" s="79">
        <f>-$S$41*Q45</f>
        <v>-63.847000000000001</v>
      </c>
      <c r="T45" s="81"/>
      <c r="X45" s="31"/>
      <c r="Y45" s="31"/>
      <c r="Z45" s="31"/>
      <c r="AA45" s="105"/>
      <c r="AB45" s="105"/>
      <c r="AC45" s="105"/>
      <c r="AD45" s="31"/>
    </row>
    <row r="46" spans="2:30" ht="15.75" hidden="1" x14ac:dyDescent="0.25">
      <c r="B46" s="11"/>
      <c r="C46" s="74"/>
      <c r="D46" s="74"/>
      <c r="E46" s="74"/>
      <c r="F46" s="74"/>
      <c r="G46" s="74"/>
      <c r="H46" s="74"/>
      <c r="I46" s="74"/>
      <c r="J46" s="74"/>
      <c r="K46" s="74"/>
      <c r="L46" s="75"/>
      <c r="M46" s="76"/>
      <c r="N46" s="76"/>
      <c r="O46" s="76"/>
      <c r="P46" s="78" t="s">
        <v>87</v>
      </c>
      <c r="Q46" s="166">
        <v>0.11</v>
      </c>
      <c r="R46" s="166"/>
      <c r="S46" s="79">
        <v>0</v>
      </c>
      <c r="T46" s="81"/>
      <c r="X46" s="31"/>
      <c r="Y46" s="31"/>
      <c r="Z46" s="31"/>
      <c r="AA46" s="105"/>
      <c r="AB46" s="105"/>
      <c r="AC46" s="105"/>
      <c r="AD46" s="31"/>
    </row>
    <row r="47" spans="2:30" ht="15.75" hidden="1" x14ac:dyDescent="0.25">
      <c r="B47" s="11"/>
      <c r="C47" s="74"/>
      <c r="D47" s="74"/>
      <c r="E47" s="74"/>
      <c r="F47" s="74"/>
      <c r="G47" s="74"/>
      <c r="H47" s="74"/>
      <c r="I47" s="74"/>
      <c r="J47" s="74"/>
      <c r="K47" s="74"/>
      <c r="L47" s="75"/>
      <c r="M47" s="76"/>
      <c r="N47" s="76"/>
      <c r="O47" s="76"/>
      <c r="P47" s="78" t="s">
        <v>88</v>
      </c>
      <c r="Q47" s="166">
        <v>0.02</v>
      </c>
      <c r="R47" s="166"/>
      <c r="S47" s="79">
        <f>-$S$41*Q47</f>
        <v>-127.694</v>
      </c>
      <c r="T47" s="81"/>
      <c r="X47" s="31"/>
      <c r="Y47" s="31"/>
      <c r="Z47" s="31"/>
      <c r="AA47" s="105"/>
      <c r="AB47" s="105"/>
      <c r="AC47" s="105"/>
      <c r="AD47" s="31"/>
    </row>
    <row r="48" spans="2:30" ht="15.75" hidden="1" x14ac:dyDescent="0.25">
      <c r="B48" s="11"/>
      <c r="C48" s="74"/>
      <c r="D48" s="74"/>
      <c r="E48" s="74"/>
      <c r="F48" s="74"/>
      <c r="G48" s="74"/>
      <c r="H48" s="74"/>
      <c r="I48" s="74"/>
      <c r="J48" s="74"/>
      <c r="K48" s="74"/>
      <c r="L48" s="75"/>
      <c r="M48" s="76"/>
      <c r="N48" s="76"/>
      <c r="O48" s="76"/>
      <c r="P48" s="78" t="s">
        <v>14</v>
      </c>
      <c r="Q48" s="166"/>
      <c r="R48" s="166"/>
      <c r="S48" s="79">
        <v>0</v>
      </c>
      <c r="T48" s="74"/>
      <c r="X48" s="116"/>
      <c r="Y48" s="116"/>
      <c r="Z48" s="116"/>
      <c r="AA48" s="116"/>
      <c r="AB48" s="105"/>
      <c r="AC48" s="117"/>
      <c r="AD48" s="31"/>
    </row>
    <row r="49" spans="2:30" ht="16.5" hidden="1" thickBot="1" x14ac:dyDescent="0.3">
      <c r="B49" s="11"/>
      <c r="C49" s="74"/>
      <c r="D49" s="74"/>
      <c r="E49" s="74"/>
      <c r="F49" s="74"/>
      <c r="G49" s="74"/>
      <c r="H49" s="74"/>
      <c r="I49" s="74"/>
      <c r="J49" s="74"/>
      <c r="K49" s="74"/>
      <c r="L49" s="75"/>
      <c r="M49" s="76"/>
      <c r="N49" s="76"/>
      <c r="O49" s="76"/>
      <c r="P49" s="167" t="s">
        <v>89</v>
      </c>
      <c r="Q49" s="168"/>
      <c r="R49" s="168"/>
      <c r="S49" s="77">
        <f>SUM(S41:S48)+0.01</f>
        <v>5864.3569500000003</v>
      </c>
      <c r="T49" s="74"/>
      <c r="X49" s="116"/>
      <c r="Y49" s="116"/>
      <c r="Z49" s="116"/>
      <c r="AA49" s="116"/>
      <c r="AB49" s="105"/>
      <c r="AC49" s="117"/>
      <c r="AD49" s="31"/>
    </row>
    <row r="50" spans="2:30" ht="4.5" hidden="1" customHeight="1" x14ac:dyDescent="0.25">
      <c r="B50" s="11"/>
      <c r="C50" s="74"/>
      <c r="D50" s="74"/>
      <c r="E50" s="74"/>
      <c r="F50" s="74"/>
      <c r="G50" s="74"/>
      <c r="H50" s="74"/>
      <c r="I50" s="74"/>
      <c r="J50" s="74"/>
      <c r="K50" s="74"/>
      <c r="L50" s="75"/>
      <c r="M50" s="76"/>
      <c r="N50" s="76"/>
      <c r="O50" s="76"/>
      <c r="P50" s="76"/>
      <c r="Q50" s="82"/>
      <c r="R50" s="73"/>
      <c r="S50" s="83"/>
      <c r="T50" s="74"/>
      <c r="X50" s="116"/>
      <c r="Y50" s="116"/>
      <c r="Z50" s="116"/>
      <c r="AA50" s="116"/>
      <c r="AB50" s="105"/>
      <c r="AC50" s="117"/>
      <c r="AD50" s="31"/>
    </row>
    <row r="51" spans="2:30" ht="15.75" hidden="1" x14ac:dyDescent="0.25">
      <c r="B51" s="11"/>
      <c r="C51" s="74"/>
      <c r="D51" s="74"/>
      <c r="E51" s="74"/>
      <c r="F51" s="74"/>
      <c r="G51" s="74"/>
      <c r="H51" s="74"/>
      <c r="I51" s="74"/>
      <c r="J51" s="74"/>
      <c r="K51" s="74"/>
      <c r="L51" s="75"/>
      <c r="M51" s="84"/>
      <c r="N51" s="85"/>
      <c r="O51" s="85"/>
      <c r="P51" s="85"/>
      <c r="Q51" s="86"/>
      <c r="R51" s="75"/>
      <c r="S51" s="83"/>
      <c r="T51" s="74"/>
      <c r="X51" s="116"/>
      <c r="Y51" s="116"/>
      <c r="Z51" s="116"/>
      <c r="AA51" s="116"/>
      <c r="AB51" s="105"/>
      <c r="AC51" s="117"/>
      <c r="AD51" s="31"/>
    </row>
    <row r="52" spans="2:30" ht="15.75" hidden="1" x14ac:dyDescent="0.25">
      <c r="B52" s="11"/>
      <c r="C52" s="74"/>
      <c r="D52" s="74"/>
      <c r="E52" s="74"/>
      <c r="F52" s="74"/>
      <c r="G52" s="74"/>
      <c r="H52" s="74"/>
      <c r="I52" s="74"/>
      <c r="J52" s="74"/>
      <c r="K52" s="74"/>
      <c r="L52" s="75"/>
      <c r="M52" s="87"/>
      <c r="N52" s="75"/>
      <c r="O52" s="75"/>
      <c r="P52" s="75"/>
      <c r="Q52" s="86"/>
      <c r="R52" s="75"/>
      <c r="S52" s="88"/>
      <c r="T52" s="74"/>
      <c r="X52" s="116"/>
      <c r="Y52" s="116"/>
      <c r="Z52" s="116"/>
      <c r="AA52" s="116"/>
      <c r="AB52" s="105"/>
      <c r="AC52" s="117"/>
      <c r="AD52" s="31"/>
    </row>
    <row r="53" spans="2:30" ht="15.75" hidden="1" x14ac:dyDescent="0.25">
      <c r="B53" s="11"/>
      <c r="C53" s="74"/>
      <c r="D53" s="74"/>
      <c r="E53" s="74"/>
      <c r="F53" s="74"/>
      <c r="G53" s="74"/>
      <c r="H53" s="74"/>
      <c r="I53" s="74"/>
      <c r="J53" s="74"/>
      <c r="K53" s="74"/>
      <c r="L53" s="75"/>
      <c r="M53" s="75"/>
      <c r="N53" s="75"/>
      <c r="O53" s="75"/>
      <c r="P53" s="75"/>
      <c r="Q53" s="86"/>
      <c r="R53" s="75"/>
      <c r="S53" s="75"/>
      <c r="T53" s="74"/>
      <c r="X53" s="116"/>
      <c r="Y53" s="116"/>
      <c r="Z53" s="116"/>
      <c r="AA53" s="116"/>
      <c r="AB53" s="105"/>
      <c r="AC53" s="117"/>
      <c r="AD53" s="31"/>
    </row>
    <row r="54" spans="2:30" ht="16.5" thickBot="1" x14ac:dyDescent="0.3">
      <c r="B54" s="11"/>
      <c r="C54" s="74"/>
      <c r="D54" s="74"/>
      <c r="E54" s="74"/>
      <c r="F54" s="74"/>
      <c r="G54" s="74"/>
      <c r="H54" s="74"/>
      <c r="I54" s="74"/>
      <c r="J54" s="74"/>
      <c r="K54" s="74"/>
      <c r="L54" s="75"/>
      <c r="M54" s="75"/>
      <c r="N54" s="75"/>
      <c r="O54" s="75"/>
      <c r="P54" s="75"/>
      <c r="Q54" s="75"/>
      <c r="R54" s="75"/>
      <c r="S54" s="75"/>
      <c r="T54" s="74"/>
      <c r="X54" s="116"/>
      <c r="Y54" s="116"/>
      <c r="Z54" s="116"/>
      <c r="AA54" s="116"/>
      <c r="AB54" s="105"/>
      <c r="AC54" s="117"/>
      <c r="AD54" s="31"/>
    </row>
    <row r="55" spans="2:30" ht="15.75" thickBot="1" x14ac:dyDescent="0.3">
      <c r="B55" s="11"/>
      <c r="C55" s="73" t="s">
        <v>90</v>
      </c>
      <c r="D55" s="89"/>
      <c r="E55" s="89"/>
      <c r="F55" s="89"/>
      <c r="G55" s="89"/>
      <c r="H55" s="89"/>
      <c r="I55" s="89"/>
      <c r="J55" s="89"/>
      <c r="K55" s="89"/>
      <c r="L55" s="90"/>
      <c r="M55" s="91"/>
      <c r="N55" s="92"/>
      <c r="O55" s="92"/>
      <c r="P55" s="169" t="s">
        <v>91</v>
      </c>
      <c r="Q55" s="170"/>
      <c r="R55" s="171"/>
      <c r="S55" s="172"/>
      <c r="T55" s="93"/>
      <c r="U55" s="74"/>
      <c r="V55" s="74"/>
      <c r="W55" s="74"/>
    </row>
    <row r="56" spans="2:30" x14ac:dyDescent="0.25">
      <c r="B56" s="11"/>
      <c r="C56" s="74"/>
      <c r="D56" s="94"/>
      <c r="E56" s="94"/>
      <c r="F56" s="94"/>
      <c r="G56" s="94"/>
      <c r="H56" s="94"/>
      <c r="I56" s="94"/>
      <c r="J56" s="94"/>
      <c r="K56" s="94"/>
      <c r="L56" s="95"/>
      <c r="M56" s="92"/>
      <c r="N56" s="92"/>
      <c r="O56" s="92"/>
      <c r="P56" s="96" t="s">
        <v>92</v>
      </c>
      <c r="Q56" s="97" t="s">
        <v>93</v>
      </c>
      <c r="R56" s="173"/>
      <c r="S56" s="174"/>
      <c r="T56" s="93"/>
      <c r="U56" s="74"/>
      <c r="V56" s="74"/>
      <c r="W56" s="74"/>
    </row>
    <row r="57" spans="2:30" x14ac:dyDescent="0.25">
      <c r="B57" s="11"/>
      <c r="C57" s="74"/>
      <c r="D57" s="94"/>
      <c r="E57" s="94"/>
      <c r="F57" s="94"/>
      <c r="G57" s="94"/>
      <c r="H57" s="94"/>
      <c r="I57" s="94"/>
      <c r="J57" s="94"/>
      <c r="K57" s="94"/>
      <c r="L57" s="94"/>
      <c r="M57" s="94"/>
      <c r="N57" s="94"/>
      <c r="O57" s="94"/>
      <c r="P57" s="98" t="s">
        <v>94</v>
      </c>
      <c r="Q57" s="99" t="s">
        <v>93</v>
      </c>
      <c r="R57" s="160"/>
      <c r="S57" s="161"/>
      <c r="T57" s="93"/>
      <c r="U57" s="74"/>
      <c r="V57" s="74"/>
      <c r="W57" s="74"/>
    </row>
    <row r="58" spans="2:30" x14ac:dyDescent="0.25">
      <c r="B58" s="11"/>
      <c r="C58" s="74"/>
      <c r="D58" s="94"/>
      <c r="E58" s="94"/>
      <c r="F58" s="94"/>
      <c r="G58" s="94"/>
      <c r="H58" s="94"/>
      <c r="I58" s="94"/>
      <c r="J58" s="94"/>
      <c r="K58" s="94"/>
      <c r="L58" s="94"/>
      <c r="M58" s="94"/>
      <c r="N58" s="94"/>
      <c r="O58" s="94"/>
      <c r="P58" s="98" t="s">
        <v>95</v>
      </c>
      <c r="Q58" s="99" t="s">
        <v>93</v>
      </c>
      <c r="R58" s="162"/>
      <c r="S58" s="163"/>
      <c r="T58" s="74"/>
      <c r="U58" s="74"/>
      <c r="V58" s="74"/>
      <c r="W58" s="74"/>
    </row>
    <row r="59" spans="2:30" x14ac:dyDescent="0.25">
      <c r="B59" s="11"/>
      <c r="C59" s="74"/>
      <c r="D59" s="74"/>
      <c r="E59" s="74"/>
      <c r="F59" s="74"/>
      <c r="G59" s="74"/>
      <c r="H59" s="74"/>
      <c r="I59" s="74"/>
      <c r="J59" s="74"/>
      <c r="K59" s="74"/>
      <c r="L59" s="74"/>
      <c r="M59" s="74"/>
      <c r="N59" s="74"/>
      <c r="O59" s="74"/>
      <c r="P59" s="98" t="s">
        <v>96</v>
      </c>
      <c r="Q59" s="99" t="s">
        <v>93</v>
      </c>
      <c r="R59" s="162"/>
      <c r="S59" s="163"/>
      <c r="T59" s="74"/>
      <c r="U59" s="74"/>
      <c r="V59" s="74"/>
      <c r="W59" s="74"/>
    </row>
    <row r="60" spans="2:30" x14ac:dyDescent="0.25">
      <c r="B60" s="11"/>
      <c r="C60" s="74"/>
      <c r="D60" s="74"/>
      <c r="E60" s="74"/>
      <c r="F60" s="74"/>
      <c r="G60" s="74"/>
      <c r="H60" s="74"/>
      <c r="I60" s="74"/>
      <c r="J60" s="74"/>
      <c r="K60" s="74"/>
      <c r="L60" s="74"/>
      <c r="M60" s="74"/>
      <c r="N60" s="74"/>
      <c r="O60" s="74"/>
      <c r="P60" s="98" t="s">
        <v>97</v>
      </c>
      <c r="Q60" s="100"/>
      <c r="R60" s="162"/>
      <c r="S60" s="163"/>
      <c r="T60" s="74"/>
      <c r="U60" s="74"/>
      <c r="V60" s="74"/>
      <c r="W60" s="74"/>
    </row>
    <row r="61" spans="2:30" x14ac:dyDescent="0.25">
      <c r="B61" s="11"/>
      <c r="C61" s="74"/>
      <c r="D61" s="74"/>
      <c r="E61" s="74"/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98" t="s">
        <v>98</v>
      </c>
      <c r="Q61" s="100"/>
      <c r="R61" s="162">
        <v>0</v>
      </c>
      <c r="S61" s="163"/>
      <c r="T61" s="74"/>
      <c r="U61" s="74"/>
      <c r="V61" s="74"/>
      <c r="W61" s="74"/>
    </row>
    <row r="62" spans="2:30" ht="15.75" thickBot="1" x14ac:dyDescent="0.3">
      <c r="B62" s="11"/>
      <c r="C62" s="74"/>
      <c r="D62" s="74"/>
      <c r="E62" s="74"/>
      <c r="F62" s="74"/>
      <c r="G62" s="74"/>
      <c r="H62" s="74"/>
      <c r="I62" s="74"/>
      <c r="J62" s="74"/>
      <c r="K62" s="74"/>
      <c r="L62" s="74"/>
      <c r="M62" s="74"/>
      <c r="N62" s="74"/>
      <c r="O62" s="74"/>
      <c r="P62" s="101" t="s">
        <v>99</v>
      </c>
      <c r="Q62" s="102"/>
      <c r="R62" s="164"/>
      <c r="S62" s="165"/>
      <c r="T62" s="74"/>
      <c r="U62" s="74"/>
      <c r="V62" s="74"/>
      <c r="W62" s="74"/>
    </row>
    <row r="63" spans="2:30" ht="15.75" thickBot="1" x14ac:dyDescent="0.3">
      <c r="B63" s="11"/>
      <c r="C63" s="74"/>
      <c r="D63" s="74"/>
      <c r="E63" s="74"/>
      <c r="F63" s="74"/>
      <c r="G63" s="74"/>
      <c r="H63" s="74"/>
      <c r="I63" s="74"/>
      <c r="J63" s="74"/>
      <c r="K63" s="74"/>
      <c r="L63" s="74"/>
      <c r="M63" s="74"/>
      <c r="N63" s="74"/>
      <c r="O63" s="74"/>
      <c r="P63" s="152" t="s">
        <v>100</v>
      </c>
      <c r="Q63" s="153"/>
      <c r="R63" s="154">
        <f>R55-R56-R57-R58-R59-R61+R60</f>
        <v>0</v>
      </c>
      <c r="S63" s="155"/>
      <c r="T63" s="74"/>
      <c r="U63" s="74"/>
      <c r="V63" s="74"/>
      <c r="W63" s="74"/>
    </row>
    <row r="64" spans="2:30" x14ac:dyDescent="0.25">
      <c r="B64" s="11"/>
      <c r="C64" s="74"/>
      <c r="D64" s="74"/>
      <c r="E64" s="74"/>
      <c r="F64" s="74"/>
      <c r="G64" s="74"/>
      <c r="H64" s="74"/>
      <c r="I64" s="74"/>
      <c r="J64" s="74"/>
      <c r="K64" s="74"/>
      <c r="L64" s="74"/>
      <c r="M64" s="74"/>
      <c r="N64" s="74"/>
      <c r="O64" s="74"/>
      <c r="P64" s="74"/>
      <c r="Q64" s="74"/>
      <c r="R64" s="74"/>
      <c r="S64" s="74"/>
      <c r="T64" s="74"/>
      <c r="U64" s="74"/>
      <c r="V64" s="74"/>
      <c r="W64" s="74"/>
    </row>
  </sheetData>
  <mergeCells count="36">
    <mergeCell ref="P35:Q35"/>
    <mergeCell ref="P6:R6"/>
    <mergeCell ref="F8:L8"/>
    <mergeCell ref="P19:S19"/>
    <mergeCell ref="C23:Q24"/>
    <mergeCell ref="S23:S24"/>
    <mergeCell ref="C27:Q29"/>
    <mergeCell ref="S27:S29"/>
    <mergeCell ref="C33:F33"/>
    <mergeCell ref="H33:K33"/>
    <mergeCell ref="C35:F35"/>
    <mergeCell ref="H35:K35"/>
    <mergeCell ref="M35:N35"/>
    <mergeCell ref="R56:S56"/>
    <mergeCell ref="P41:R41"/>
    <mergeCell ref="Q42:R42"/>
    <mergeCell ref="Q43:R43"/>
    <mergeCell ref="Q44:R44"/>
    <mergeCell ref="Q45:R45"/>
    <mergeCell ref="Q46:R46"/>
    <mergeCell ref="P63:Q63"/>
    <mergeCell ref="R63:S63"/>
    <mergeCell ref="AB35:AC35"/>
    <mergeCell ref="AA36:AC36"/>
    <mergeCell ref="AA42:AB42"/>
    <mergeCell ref="R57:S57"/>
    <mergeCell ref="R58:S58"/>
    <mergeCell ref="R59:S59"/>
    <mergeCell ref="R60:S60"/>
    <mergeCell ref="R61:S61"/>
    <mergeCell ref="R62:S62"/>
    <mergeCell ref="Q47:R47"/>
    <mergeCell ref="Q48:R48"/>
    <mergeCell ref="P49:R49"/>
    <mergeCell ref="P55:Q55"/>
    <mergeCell ref="R55:S55"/>
  </mergeCells>
  <dataValidations count="1">
    <dataValidation type="list" allowBlank="1" showInputMessage="1" showErrorMessage="1" prompt="Selecione uma das Opções" sqref="F8:L8">
      <formula1>$Y$8:$Y$13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3</vt:i4>
      </vt:variant>
    </vt:vector>
  </HeadingPairs>
  <TitlesOfParts>
    <vt:vector size="8" baseType="lpstr">
      <vt:lpstr>Gráfico</vt:lpstr>
      <vt:lpstr>Relatório</vt:lpstr>
      <vt:lpstr>Despesas</vt:lpstr>
      <vt:lpstr>Banco de Dados</vt:lpstr>
      <vt:lpstr>Capa</vt:lpstr>
      <vt:lpstr>Fornecedor1</vt:lpstr>
      <vt:lpstr>Fornecedor2</vt:lpstr>
      <vt:lpstr>Fornecedores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Figueiredo Marques</dc:creator>
  <cp:lastModifiedBy>Miguel Figueiredo Marques</cp:lastModifiedBy>
  <dcterms:created xsi:type="dcterms:W3CDTF">2016-03-14T18:45:57Z</dcterms:created>
  <dcterms:modified xsi:type="dcterms:W3CDTF">2016-03-28T04:40:00Z</dcterms:modified>
</cp:coreProperties>
</file>